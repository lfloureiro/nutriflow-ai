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drawings/drawing2.xml" ContentType="application/vnd.openxmlformats-officedocument.drawing+xml"/>
  <Override PartName="/xl/ink/ink6.xml" ContentType="application/inkml+xml"/>
  <Override PartName="/xl/ink/ink7.xml" ContentType="application/inkml+xml"/>
  <Override PartName="/xl/ink/ink8.xml" ContentType="application/inkml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NutriFlow AI\nutriflow-ai\data\imports\familia\"/>
    </mc:Choice>
  </mc:AlternateContent>
  <xr:revisionPtr revIDLastSave="0" documentId="13_ncr:1_{FDFEB54F-2EF1-4AF8-9A95-C8CE9EC2008E}" xr6:coauthVersionLast="47" xr6:coauthVersionMax="47" xr10:uidLastSave="{00000000-0000-0000-0000-000000000000}"/>
  <bookViews>
    <workbookView xWindow="-120" yWindow="-120" windowWidth="38640" windowHeight="15720" tabRatio="788" activeTab="6" xr2:uid="{00000000-000D-0000-FFFF-FFFF00000000}"/>
  </bookViews>
  <sheets>
    <sheet name="Calendar" sheetId="14" r:id="rId1"/>
    <sheet name="Verificação" sheetId="21" r:id="rId2"/>
    <sheet name="Compras" sheetId="19" r:id="rId3"/>
    <sheet name="Semanalmente" sheetId="20" r:id="rId4"/>
    <sheet name="Receitas" sheetId="15" r:id="rId5"/>
    <sheet name="Produtos" sheetId="18" r:id="rId6"/>
    <sheet name="Ingredientes por receita" sheetId="16" r:id="rId7"/>
    <sheet name="Cores" sheetId="22" r:id="rId8"/>
    <sheet name="Melhorias" sheetId="23" r:id="rId9"/>
    <sheet name="Compras (2)" sheetId="26" r:id="rId10"/>
    <sheet name="Sheet1" sheetId="27" r:id="rId11"/>
  </sheets>
  <functionGroups builtInGroupCount="19"/>
  <definedNames>
    <definedName name="_BDFiltrada" localSheetId="1" hidden="1">Verificação!$B$75:$E$87</definedName>
    <definedName name="_FD" localSheetId="2" hidden="1">Compras!$B$2:$D$104</definedName>
    <definedName name="_FD" localSheetId="9" hidden="1">'Compras (2)'!$B$2:$E$104</definedName>
    <definedName name="_xlnm._FilterDatabase" localSheetId="2" hidden="1">Compras!$A$3:$E$52</definedName>
    <definedName name="_xlnm._FilterDatabase" localSheetId="9" hidden="1">'Compras (2)'!$B$2:$E$104</definedName>
    <definedName name="_xlnm._FilterDatabase" localSheetId="6" hidden="1">'Ingredientes por receita'!$A$1:$D$483</definedName>
    <definedName name="_xlnm._FilterDatabase" localSheetId="5" hidden="1">Produtos!$B$1:$O$123</definedName>
    <definedName name="_xlnm._FilterDatabase" localSheetId="4" hidden="1">Receitas!$P$1:$P$46</definedName>
    <definedName name="_xlnm._FilterDatabase" localSheetId="1" hidden="1">Verificação!$A$3:$F$84</definedName>
    <definedName name="Calendar10Month">Calendar!#REF!</definedName>
    <definedName name="Calendar10MonthOption" localSheetId="9">MATCH([0]!Calendar10Year,Recomeçar,0)</definedName>
    <definedName name="Calendar10MonthOption" localSheetId="1">MATCH([0]!Calendar10Year,Recomeçar,0)</definedName>
    <definedName name="Calendar10MonthOption">MATCH(Calendar10Year,Recomeçar,0)</definedName>
    <definedName name="Calendar10Year">Calendar!#REF!</definedName>
    <definedName name="Calendar11Month">Calendar!#REF!</definedName>
    <definedName name="Calendar11MonthOption" localSheetId="9">MATCH([0]!Calendar11Year,Recomeçar,0)</definedName>
    <definedName name="Calendar11MonthOption" localSheetId="1">MATCH([0]!Calendar11Year,Recomeçar,0)</definedName>
    <definedName name="Calendar11MonthOption">MATCH(Calendar11Year,Recomeçar,0)</definedName>
    <definedName name="Calendar11Year">Calendar!#REF!</definedName>
    <definedName name="Calendar12Month">Calendar!#REF!</definedName>
    <definedName name="Calendar12MonthOption" localSheetId="9">MATCH([0]!Calendar12Year,Recomeçar,0)</definedName>
    <definedName name="Calendar12MonthOption" localSheetId="1">MATCH([0]!Calendar12Year,Recomeçar,0)</definedName>
    <definedName name="Calendar12MonthOption">MATCH(Calendar12Year,Recomeçar,0)</definedName>
    <definedName name="Calendar12Year">Calendar!#REF!</definedName>
    <definedName name="Calendar1Month">Calendar!$C$2</definedName>
    <definedName name="Calendar1MonthOption" localSheetId="9">MATCH([0]!Calendar1Year,Recomeçar,0)</definedName>
    <definedName name="Calendar1MonthOption" localSheetId="1">MATCH([0]!Calendar1Year,Recomeçar,0)</definedName>
    <definedName name="Calendar1MonthOption">MATCH(Calendar1Year,Recomeçar,0)</definedName>
    <definedName name="Calendar1Year">Calendar!$B$2</definedName>
    <definedName name="Calendar2Month">Calendar!#REF!</definedName>
    <definedName name="Calendar2MonthOption" localSheetId="9">MATCH([0]!Calendar2Year,Recomeçar,0)</definedName>
    <definedName name="Calendar2MonthOption" localSheetId="1">MATCH([0]!Calendar2Year,Recomeçar,0)</definedName>
    <definedName name="Calendar2MonthOption">MATCH(Calendar2Year,Recomeçar,0)</definedName>
    <definedName name="Calendar2Year">Calendar!#REF!</definedName>
    <definedName name="Calendar3Month">Calendar!#REF!</definedName>
    <definedName name="Calendar3MonthOption" localSheetId="9">MATCH([0]!Calendar3Year,Recomeçar,0)</definedName>
    <definedName name="Calendar3MonthOption" localSheetId="1">MATCH([0]!Calendar3Year,Recomeçar,0)</definedName>
    <definedName name="Calendar3MonthOption">MATCH(Calendar3Year,Recomeçar,0)</definedName>
    <definedName name="Calendar3Year">Calendar!#REF!</definedName>
    <definedName name="Calendar4Month">Calendar!#REF!</definedName>
    <definedName name="Calendar4MonthOption" localSheetId="9">MATCH([0]!Calendar4Year,Recomeçar,0)</definedName>
    <definedName name="Calendar4MonthOption" localSheetId="1">MATCH([0]!Calendar4Year,Recomeçar,0)</definedName>
    <definedName name="Calendar4MonthOption">MATCH(Calendar4Year,Recomeçar,0)</definedName>
    <definedName name="Calendar4Year">Calendar!#REF!</definedName>
    <definedName name="Calendar5Month">Calendar!#REF!</definedName>
    <definedName name="Calendar5MonthOption" localSheetId="9">MATCH([0]!Calendar5Year,Recomeçar,0)</definedName>
    <definedName name="Calendar5MonthOption" localSheetId="1">MATCH([0]!Calendar5Year,Recomeçar,0)</definedName>
    <definedName name="Calendar5MonthOption">MATCH(Calendar5Year,Recomeçar,0)</definedName>
    <definedName name="Calendar5Year">Calendar!#REF!</definedName>
    <definedName name="Calendar6Month">Calendar!#REF!</definedName>
    <definedName name="Calendar6MonthOption" localSheetId="9">MATCH([0]!Calendar6Year,Recomeçar,0)</definedName>
    <definedName name="Calendar6MonthOption" localSheetId="1">MATCH([0]!Calendar6Year,Recomeçar,0)</definedName>
    <definedName name="Calendar6MonthOption">MATCH(Calendar6Year,Recomeçar,0)</definedName>
    <definedName name="Calendar6Year">Calendar!#REF!</definedName>
    <definedName name="Calendar7Month">Calendar!#REF!</definedName>
    <definedName name="Calendar7MonthOption" localSheetId="9">MATCH([0]!Calendar7Year,Recomeçar,0)</definedName>
    <definedName name="Calendar7MonthOption" localSheetId="1">MATCH([0]!Calendar7Year,Recomeçar,0)</definedName>
    <definedName name="Calendar7MonthOption">MATCH(Calendar7Year,Recomeçar,0)</definedName>
    <definedName name="Calendar7Year">Calendar!#REF!</definedName>
    <definedName name="Calendar8Month">Calendar!#REF!</definedName>
    <definedName name="Calendar8MonthOption" localSheetId="9">MATCH([0]!Calendar8Year,Recomeçar,0)</definedName>
    <definedName name="Calendar8MonthOption" localSheetId="1">MATCH([0]!Calendar8Year,Recomeçar,0)</definedName>
    <definedName name="Calendar8MonthOption">MATCH(Calendar8Year,Recomeçar,0)</definedName>
    <definedName name="Calendar8Year">Calendar!#REF!</definedName>
    <definedName name="Calendar9Month">Calendar!#REF!</definedName>
    <definedName name="Calendar9MonthOption" localSheetId="9">MATCH([0]!Calendar9Year,Recomeçar,0)</definedName>
    <definedName name="Calendar9MonthOption" localSheetId="1">MATCH([0]!Calendar9Year,Recomeçar,0)</definedName>
    <definedName name="Calendar9MonthOption">MATCH(Calendar9Year,Recomeçar,0)</definedName>
    <definedName name="Calendar9Year">Calendar!#REF!</definedName>
    <definedName name="Categorias">Produtos!$U$2:$U$17</definedName>
    <definedName name="ColumnTitleRegion1..H12.1">Calendar!$B$6</definedName>
    <definedName name="ColumnTitleRegion10..H54.1">Calendar!#REF!</definedName>
    <definedName name="ColumnTitleRegion11..C56.1">Calendar!#REF!</definedName>
    <definedName name="ColumnTitleRegion12..D56.1">Calendar!#REF!</definedName>
    <definedName name="ColumnTitleRegion13..H68.1">Calendar!#REF!</definedName>
    <definedName name="ColumnTitleRegion14..C70.1">Calendar!#REF!</definedName>
    <definedName name="ColumnTitleRegion15..D70.1">Calendar!#REF!</definedName>
    <definedName name="ColumnTitleRegion16..H82.1">Calendar!#REF!</definedName>
    <definedName name="ColumnTitleRegion17..C84.1">Calendar!#REF!</definedName>
    <definedName name="ColumnTitleRegion18..D84.1">Calendar!#REF!</definedName>
    <definedName name="ColumnTitleRegion19..H96.1">Calendar!#REF!</definedName>
    <definedName name="ColumnTitleRegion2..C14.1">Calendar!$B$6</definedName>
    <definedName name="ColumnTitleRegion20..C98.1">Calendar!#REF!</definedName>
    <definedName name="ColumnTitleRegion21..D98.1">Calendar!#REF!</definedName>
    <definedName name="ColumnTitleRegion22..H110.1">Calendar!#REF!</definedName>
    <definedName name="ColumnTitleRegion23..C112.1">Calendar!#REF!</definedName>
    <definedName name="ColumnTitleRegion24..D112.1">Calendar!#REF!</definedName>
    <definedName name="ColumnTitleRegion25..H124.1">Calendar!#REF!</definedName>
    <definedName name="ColumnTitleRegion26..C126.1">Calendar!#REF!</definedName>
    <definedName name="ColumnTitleRegion27..D126.1">Calendar!#REF!</definedName>
    <definedName name="ColumnTitleRegion28..H138.1">Calendar!#REF!</definedName>
    <definedName name="ColumnTitleRegion29..C140.1">Calendar!#REF!</definedName>
    <definedName name="ColumnTitleRegion3..D14.1">Calendar!$D$27</definedName>
    <definedName name="ColumnTitleRegion30..D140.1">Calendar!#REF!</definedName>
    <definedName name="ColumnTitleRegion31..H152.1">Calendar!#REF!</definedName>
    <definedName name="ColumnTitleRegion32..C154.1">Calendar!#REF!</definedName>
    <definedName name="ColumnTitleRegion33..D154.1">Calendar!#REF!</definedName>
    <definedName name="ColumnTitleRegion34..H166.1">Calendar!#REF!</definedName>
    <definedName name="ColumnTitleRegion35..C168.1">Calendar!#REF!</definedName>
    <definedName name="ColumnTitleRegion36..D168.1">Calendar!#REF!</definedName>
    <definedName name="ColumnTitleRegion4..H26.1">Calendar!#REF!</definedName>
    <definedName name="ColumnTitleRegion5..C28.1">Calendar!#REF!</definedName>
    <definedName name="ColumnTitleRegion6..D28.1">Calendar!#REF!</definedName>
    <definedName name="ColumnTitleRegion7..H40.1">Calendar!#REF!</definedName>
    <definedName name="ColumnTitleRegion8..C42.1">Calendar!#REF!</definedName>
    <definedName name="ColumnTitleRegion9..D42.1">Calendar!#REF!</definedName>
    <definedName name="Days">{0,1,2,3,4,5,6}</definedName>
    <definedName name="fPeriodoDeRefeições">Calendar!$M$6</definedName>
    <definedName name="iPeriodoDeRefeições">Calendar!$K$6</definedName>
    <definedName name="ListaDePratos">Receitas!$A$1:$G$44</definedName>
    <definedName name="Months">{"Janeiro","Fevereiro","Março","Abril","Maio","Junho","Julho","Agosto","Setembro","Outubro","Novembro","Dezembro"}</definedName>
    <definedName name="_xlnm.Print_Area" localSheetId="0">Calendar!$B$4:$I$29</definedName>
    <definedName name="Produtos" localSheetId="9">_xlfn._xlws.SORT(tIngredientes[Mantimento])</definedName>
    <definedName name="Produtos">_xlfn._xlws.SORT(tIngredientes[Mantimento])</definedName>
    <definedName name="Weekdays">{"Segunda-Feira","Terça-Feira","Quarta-Feira","Quinta-Feira","Sexta-Feira","Sábado","Domingo"}</definedName>
    <definedName name="WeekStart">Calendar!$B$6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4" l="1"/>
  <c r="B7" i="14" s="1"/>
  <c r="B8" i="14" s="1" a="1"/>
  <c r="B8" i="14" s="1"/>
  <c r="I6" i="18" a="1"/>
  <c r="I6" i="18"/>
  <c r="B17" i="15"/>
  <c r="K17" i="15" a="1"/>
  <c r="K17" i="15" s="1"/>
  <c r="B30" i="15"/>
  <c r="K30" i="15" a="1"/>
  <c r="K30" i="15" s="1"/>
  <c r="H46" i="18" a="1"/>
  <c r="H46" i="18"/>
  <c r="J46" i="18"/>
  <c r="K46" i="18"/>
  <c r="L46" i="18"/>
  <c r="A46" i="18" s="1"/>
  <c r="E56" i="20" a="1"/>
  <c r="E56" i="20"/>
  <c r="H70" i="18" a="1"/>
  <c r="H70" i="18"/>
  <c r="J70" i="18"/>
  <c r="K70" i="18"/>
  <c r="L70" i="18"/>
  <c r="E55" i="20" a="1"/>
  <c r="E55" i="20"/>
  <c r="H48" i="18" a="1"/>
  <c r="H48" i="18"/>
  <c r="I48" i="18" a="1"/>
  <c r="I48" i="18"/>
  <c r="J48" i="18"/>
  <c r="K48" i="18"/>
  <c r="L48" i="18"/>
  <c r="E15" i="20" a="1"/>
  <c r="E15" i="20"/>
  <c r="E36" i="20" a="1"/>
  <c r="E36" i="20"/>
  <c r="E483" i="16"/>
  <c r="E482" i="16"/>
  <c r="E481" i="16"/>
  <c r="E480" i="16"/>
  <c r="E479" i="16"/>
  <c r="E478" i="16"/>
  <c r="E477" i="16"/>
  <c r="J108" i="18" s="1"/>
  <c r="E461" i="16"/>
  <c r="E462" i="16"/>
  <c r="K135" i="18" s="1"/>
  <c r="E463" i="16"/>
  <c r="K88" i="18" s="1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H108" i="18" a="1"/>
  <c r="H108" i="18"/>
  <c r="I108" i="18" a="1"/>
  <c r="I108" i="18"/>
  <c r="B4" i="15"/>
  <c r="K4" i="15" a="1"/>
  <c r="K4" i="15" s="1"/>
  <c r="F93" i="26" a="1"/>
  <c r="F93" i="26"/>
  <c r="F92" i="26" a="1"/>
  <c r="F92" i="26"/>
  <c r="F91" i="26" a="1"/>
  <c r="F91" i="26"/>
  <c r="F90" i="26" a="1"/>
  <c r="F90" i="26"/>
  <c r="F89" i="26" a="1"/>
  <c r="F89" i="26"/>
  <c r="F88" i="26" a="1"/>
  <c r="F88" i="26"/>
  <c r="F87" i="26" a="1"/>
  <c r="F87" i="26"/>
  <c r="F86" i="26" a="1"/>
  <c r="F86" i="26"/>
  <c r="F85" i="26" a="1"/>
  <c r="F85" i="26"/>
  <c r="F84" i="26" a="1"/>
  <c r="F84" i="26"/>
  <c r="F83" i="26" a="1"/>
  <c r="F83" i="26"/>
  <c r="F82" i="26" a="1"/>
  <c r="F82" i="26"/>
  <c r="F81" i="26" a="1"/>
  <c r="F81" i="26"/>
  <c r="F80" i="26" a="1"/>
  <c r="F80" i="26"/>
  <c r="F79" i="26" a="1"/>
  <c r="F79" i="26"/>
  <c r="F78" i="26" a="1"/>
  <c r="F78" i="26"/>
  <c r="F77" i="26" a="1"/>
  <c r="F77" i="26"/>
  <c r="F76" i="26" a="1"/>
  <c r="F76" i="26"/>
  <c r="F75" i="26" a="1"/>
  <c r="F75" i="26"/>
  <c r="F74" i="26" a="1"/>
  <c r="F74" i="26"/>
  <c r="F73" i="26" a="1"/>
  <c r="F73" i="26"/>
  <c r="F72" i="26" a="1"/>
  <c r="F72" i="26"/>
  <c r="F71" i="26" a="1"/>
  <c r="F71" i="26"/>
  <c r="F70" i="26" a="1"/>
  <c r="F70" i="26"/>
  <c r="F69" i="26" a="1"/>
  <c r="F69" i="26"/>
  <c r="F68" i="26" a="1"/>
  <c r="F68" i="26"/>
  <c r="F67" i="26" a="1"/>
  <c r="F67" i="26"/>
  <c r="F66" i="26" a="1"/>
  <c r="F66" i="26"/>
  <c r="F65" i="26" a="1"/>
  <c r="F65" i="26"/>
  <c r="F64" i="26" a="1"/>
  <c r="F64" i="26"/>
  <c r="F63" i="26" a="1"/>
  <c r="F63" i="26"/>
  <c r="F62" i="26" a="1"/>
  <c r="F62" i="26"/>
  <c r="F61" i="26" a="1"/>
  <c r="F61" i="26"/>
  <c r="F60" i="26" a="1"/>
  <c r="F60" i="26"/>
  <c r="F59" i="26" a="1"/>
  <c r="F59" i="26"/>
  <c r="F58" i="26" a="1"/>
  <c r="F58" i="26"/>
  <c r="F57" i="26" a="1"/>
  <c r="F57" i="26"/>
  <c r="F56" i="26" a="1"/>
  <c r="F56" i="26"/>
  <c r="F55" i="26" a="1"/>
  <c r="F55" i="26"/>
  <c r="F54" i="26" a="1"/>
  <c r="F54" i="26"/>
  <c r="F53" i="26" a="1"/>
  <c r="F53" i="26"/>
  <c r="F52" i="26" a="1"/>
  <c r="F52" i="26"/>
  <c r="F51" i="26" a="1"/>
  <c r="F51" i="26"/>
  <c r="F50" i="26" a="1"/>
  <c r="F50" i="26"/>
  <c r="F49" i="26" a="1"/>
  <c r="F49" i="26"/>
  <c r="F48" i="26" a="1"/>
  <c r="F48" i="26"/>
  <c r="F47" i="26" a="1"/>
  <c r="F47" i="26"/>
  <c r="F46" i="26" a="1"/>
  <c r="F46" i="26"/>
  <c r="F45" i="26" a="1"/>
  <c r="F45" i="26"/>
  <c r="F44" i="26" a="1"/>
  <c r="F44" i="26"/>
  <c r="F43" i="26" a="1"/>
  <c r="F43" i="26"/>
  <c r="F42" i="26" a="1"/>
  <c r="F42" i="26"/>
  <c r="F41" i="26" a="1"/>
  <c r="F41" i="26"/>
  <c r="F40" i="26" a="1"/>
  <c r="F40" i="26"/>
  <c r="F39" i="26" a="1"/>
  <c r="F39" i="26"/>
  <c r="F38" i="26" a="1"/>
  <c r="F38" i="26"/>
  <c r="F37" i="26" a="1"/>
  <c r="F37" i="26"/>
  <c r="F36" i="26" a="1"/>
  <c r="F36" i="26"/>
  <c r="F35" i="26" a="1"/>
  <c r="F35" i="26"/>
  <c r="F34" i="26" a="1"/>
  <c r="F34" i="26"/>
  <c r="F33" i="26" a="1"/>
  <c r="F33" i="26"/>
  <c r="F32" i="26" a="1"/>
  <c r="F32" i="26"/>
  <c r="F31" i="26" a="1"/>
  <c r="F31" i="26"/>
  <c r="F30" i="26" a="1"/>
  <c r="F30" i="26"/>
  <c r="F29" i="26" a="1"/>
  <c r="F29" i="26"/>
  <c r="F28" i="26" a="1"/>
  <c r="F28" i="26"/>
  <c r="F27" i="26" a="1"/>
  <c r="F27" i="26"/>
  <c r="F26" i="26" a="1"/>
  <c r="F26" i="26"/>
  <c r="F25" i="26" a="1"/>
  <c r="F25" i="26"/>
  <c r="F24" i="26" a="1"/>
  <c r="F24" i="26"/>
  <c r="F23" i="26" a="1"/>
  <c r="F23" i="26"/>
  <c r="F22" i="26" a="1"/>
  <c r="F22" i="26"/>
  <c r="F21" i="26" a="1"/>
  <c r="F21" i="26"/>
  <c r="F20" i="26" a="1"/>
  <c r="F20" i="26"/>
  <c r="F19" i="26" a="1"/>
  <c r="F19" i="26"/>
  <c r="F18" i="26" a="1"/>
  <c r="F18" i="26"/>
  <c r="F17" i="26" a="1"/>
  <c r="F17" i="26"/>
  <c r="E15" i="26"/>
  <c r="F16" i="26" a="1"/>
  <c r="F16" i="26"/>
  <c r="E14" i="26"/>
  <c r="E13" i="26"/>
  <c r="E12" i="26"/>
  <c r="E11" i="26"/>
  <c r="F11" i="26" a="1"/>
  <c r="F11" i="26"/>
  <c r="E10" i="26"/>
  <c r="E9" i="26"/>
  <c r="F10" i="26" a="1"/>
  <c r="F10" i="26"/>
  <c r="E8" i="26"/>
  <c r="F9" i="26" a="1"/>
  <c r="F9" i="26"/>
  <c r="E7" i="26"/>
  <c r="E6" i="26"/>
  <c r="E5" i="26"/>
  <c r="E4" i="26"/>
  <c r="E3" i="26"/>
  <c r="F4" i="26" a="1"/>
  <c r="F4" i="26"/>
  <c r="N4" i="14"/>
  <c r="N5" i="14" s="1"/>
  <c r="N6" i="14" s="1"/>
  <c r="N7" i="14" s="1"/>
  <c r="N8" i="14" s="1"/>
  <c r="N9" i="14" s="1"/>
  <c r="N10" i="14" s="1"/>
  <c r="N11" i="14" s="1"/>
  <c r="O4" i="14"/>
  <c r="O5" i="14" s="1"/>
  <c r="O6" i="14" s="1"/>
  <c r="O7" i="14" s="1"/>
  <c r="O8" i="14" s="1"/>
  <c r="O9" i="14" s="1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H139" i="18" a="1"/>
  <c r="H139" i="18"/>
  <c r="I139" i="18" a="1"/>
  <c r="I139" i="18"/>
  <c r="J139" i="18"/>
  <c r="K139" i="18"/>
  <c r="L139" i="18"/>
  <c r="E51" i="20" a="1"/>
  <c r="E51" i="20"/>
  <c r="H101" i="18" a="1"/>
  <c r="H101" i="18"/>
  <c r="I101" i="18" a="1"/>
  <c r="I101" i="18"/>
  <c r="J101" i="18"/>
  <c r="K101" i="18"/>
  <c r="L101" i="18"/>
  <c r="H129" i="18" a="1"/>
  <c r="H129" i="18"/>
  <c r="I129" i="18" a="1"/>
  <c r="I129" i="18"/>
  <c r="J129" i="18"/>
  <c r="K129" i="18"/>
  <c r="L129" i="18"/>
  <c r="E42" i="20" a="1"/>
  <c r="E42" i="20"/>
  <c r="H106" i="18" a="1"/>
  <c r="H106" i="18"/>
  <c r="I106" i="18" a="1"/>
  <c r="I106" i="18"/>
  <c r="J106" i="18"/>
  <c r="K106" i="18"/>
  <c r="L106" i="18"/>
  <c r="H88" i="18" a="1"/>
  <c r="H88" i="18"/>
  <c r="I88" i="18" a="1"/>
  <c r="I88" i="18"/>
  <c r="E13" i="20" a="1"/>
  <c r="E13" i="20"/>
  <c r="H72" i="18" a="1"/>
  <c r="H72" i="18"/>
  <c r="I72" i="18" a="1"/>
  <c r="I72" i="18"/>
  <c r="J72" i="18"/>
  <c r="K72" i="18"/>
  <c r="L72" i="18"/>
  <c r="E25" i="20" a="1"/>
  <c r="E25" i="20"/>
  <c r="E24" i="20" a="1"/>
  <c r="E24" i="20"/>
  <c r="E46" i="20" a="1"/>
  <c r="E46" i="20"/>
  <c r="E40" i="20" a="1"/>
  <c r="E40" i="20"/>
  <c r="K39" i="15" a="1"/>
  <c r="K39" i="15" s="1"/>
  <c r="K16" i="15" a="1"/>
  <c r="K16" i="15" s="1"/>
  <c r="K7" i="15" a="1"/>
  <c r="K7" i="15" s="1"/>
  <c r="K15" i="15" a="1"/>
  <c r="K15" i="15" s="1"/>
  <c r="K29" i="15" a="1"/>
  <c r="K29" i="15" s="1"/>
  <c r="K18" i="15" a="1"/>
  <c r="K18" i="15" s="1"/>
  <c r="K25" i="15" a="1"/>
  <c r="K25" i="15" s="1"/>
  <c r="K2" i="15" a="1"/>
  <c r="K2" i="15" s="1"/>
  <c r="K11" i="15" a="1"/>
  <c r="K11" i="15" s="1"/>
  <c r="K5" i="15" a="1"/>
  <c r="K5" i="15" s="1"/>
  <c r="K3" i="15" a="1"/>
  <c r="K3" i="15" s="1"/>
  <c r="K22" i="15" a="1"/>
  <c r="K22" i="15" s="1"/>
  <c r="K8" i="15" a="1"/>
  <c r="K8" i="15" s="1"/>
  <c r="K31" i="15" a="1"/>
  <c r="K31" i="15" s="1"/>
  <c r="K24" i="15" a="1"/>
  <c r="K24" i="15" s="1"/>
  <c r="K26" i="15" a="1"/>
  <c r="K26" i="15" s="1"/>
  <c r="K13" i="15" a="1"/>
  <c r="K13" i="15" s="1"/>
  <c r="K10" i="15" a="1"/>
  <c r="K10" i="15" s="1"/>
  <c r="K37" i="15" a="1"/>
  <c r="K37" i="15" s="1"/>
  <c r="K27" i="15" a="1"/>
  <c r="K27" i="15" s="1"/>
  <c r="K21" i="15" a="1"/>
  <c r="K21" i="15" s="1"/>
  <c r="K41" i="15" a="1"/>
  <c r="K41" i="15" s="1"/>
  <c r="K35" i="15" a="1"/>
  <c r="K35" i="15" s="1"/>
  <c r="K32" i="15" a="1"/>
  <c r="K32" i="15" s="1"/>
  <c r="K43" i="15" a="1"/>
  <c r="K43" i="15" s="1"/>
  <c r="K14" i="15" a="1"/>
  <c r="K14" i="15" s="1"/>
  <c r="K20" i="15" a="1"/>
  <c r="K20" i="15" s="1"/>
  <c r="K44" i="15" a="1"/>
  <c r="K44" i="15" s="1"/>
  <c r="K28" i="15" a="1"/>
  <c r="K28" i="15" s="1"/>
  <c r="K34" i="15" a="1"/>
  <c r="K34" i="15" s="1"/>
  <c r="K19" i="15" a="1"/>
  <c r="K19" i="15" s="1"/>
  <c r="K6" i="15" a="1"/>
  <c r="K6" i="15" s="1"/>
  <c r="K42" i="15" a="1"/>
  <c r="K42" i="15" s="1"/>
  <c r="K12" i="15" a="1"/>
  <c r="K12" i="15" s="1"/>
  <c r="K38" i="15" a="1"/>
  <c r="K38" i="15" s="1"/>
  <c r="K36" i="15" a="1"/>
  <c r="K36" i="15" s="1"/>
  <c r="K33" i="15" a="1"/>
  <c r="K33" i="15" s="1"/>
  <c r="K9" i="15" a="1"/>
  <c r="K9" i="15" s="1"/>
  <c r="K40" i="15" a="1"/>
  <c r="K40" i="15" s="1"/>
  <c r="K23" i="15" a="1"/>
  <c r="K23" i="15" s="1"/>
  <c r="H2" i="18" a="1"/>
  <c r="H2" i="18"/>
  <c r="I2" i="18" a="1"/>
  <c r="I2" i="18"/>
  <c r="J2" i="18"/>
  <c r="K2" i="18"/>
  <c r="L2" i="18"/>
  <c r="E5" i="20" a="1"/>
  <c r="E5" i="20"/>
  <c r="H23" i="18" a="1"/>
  <c r="H23" i="18"/>
  <c r="I23" i="18" a="1"/>
  <c r="I23" i="18"/>
  <c r="H131" i="18" a="1"/>
  <c r="H131" i="18"/>
  <c r="I131" i="18" a="1"/>
  <c r="I131" i="18"/>
  <c r="E48" i="20" a="1"/>
  <c r="E48" i="20"/>
  <c r="H4" i="18" a="1"/>
  <c r="H4" i="18"/>
  <c r="I4" i="18" a="1"/>
  <c r="I4" i="18"/>
  <c r="J4" i="18"/>
  <c r="K4" i="18"/>
  <c r="L4" i="18"/>
  <c r="E6" i="20" a="1"/>
  <c r="E6" i="20"/>
  <c r="E53" i="20" a="1"/>
  <c r="E53" i="20"/>
  <c r="H103" i="18" a="1"/>
  <c r="H103" i="18"/>
  <c r="I103" i="18" a="1"/>
  <c r="I103" i="18"/>
  <c r="J103" i="18"/>
  <c r="K103" i="18"/>
  <c r="L103" i="18"/>
  <c r="E41" i="20" a="1"/>
  <c r="E41" i="20"/>
  <c r="E19" i="20" a="1"/>
  <c r="E19" i="20"/>
  <c r="H130" i="18" a="1"/>
  <c r="H130" i="18"/>
  <c r="I130" i="18" a="1"/>
  <c r="I130" i="18"/>
  <c r="J130" i="18"/>
  <c r="K130" i="18"/>
  <c r="L130" i="18"/>
  <c r="E47" i="20" a="1"/>
  <c r="E47" i="20"/>
  <c r="J73" i="18"/>
  <c r="H121" i="18" a="1"/>
  <c r="H121" i="18"/>
  <c r="I121" i="18" a="1"/>
  <c r="I121" i="18"/>
  <c r="H90" i="18" a="1"/>
  <c r="H90" i="18"/>
  <c r="I90" i="18" a="1"/>
  <c r="I90" i="18"/>
  <c r="H35" i="18" a="1"/>
  <c r="H35" i="18"/>
  <c r="I35" i="18" a="1"/>
  <c r="I35" i="18"/>
  <c r="H96" i="18" a="1"/>
  <c r="H96" i="18"/>
  <c r="I96" i="18" a="1"/>
  <c r="I96" i="18"/>
  <c r="H141" i="18" a="1"/>
  <c r="H141" i="18"/>
  <c r="I141" i="18" a="1"/>
  <c r="I141" i="18"/>
  <c r="H58" i="18" a="1"/>
  <c r="H58" i="18"/>
  <c r="I58" i="18" a="1"/>
  <c r="I58" i="18"/>
  <c r="H61" i="18" a="1"/>
  <c r="H61" i="18"/>
  <c r="I61" i="18" a="1"/>
  <c r="I61" i="18"/>
  <c r="H73" i="18" a="1"/>
  <c r="H73" i="18"/>
  <c r="I73" i="18" a="1"/>
  <c r="I73" i="18"/>
  <c r="H17" i="18" a="1"/>
  <c r="H17" i="18"/>
  <c r="I17" i="18" a="1"/>
  <c r="I17" i="18"/>
  <c r="H64" i="18" a="1"/>
  <c r="H64" i="18"/>
  <c r="I64" i="18" a="1"/>
  <c r="I64" i="18"/>
  <c r="H124" i="18" a="1"/>
  <c r="H124" i="18"/>
  <c r="I124" i="18" a="1"/>
  <c r="I124" i="18"/>
  <c r="H47" i="18" a="1"/>
  <c r="H47" i="18"/>
  <c r="I47" i="18" a="1"/>
  <c r="I47" i="18"/>
  <c r="J121" i="18"/>
  <c r="J90" i="18"/>
  <c r="J35" i="18"/>
  <c r="J96" i="18"/>
  <c r="J58" i="18"/>
  <c r="J61" i="18"/>
  <c r="J17" i="18"/>
  <c r="J64" i="18"/>
  <c r="J124" i="18"/>
  <c r="J47" i="18"/>
  <c r="K121" i="18"/>
  <c r="K90" i="18"/>
  <c r="K35" i="18"/>
  <c r="K96" i="18"/>
  <c r="K58" i="18"/>
  <c r="K61" i="18"/>
  <c r="K73" i="18"/>
  <c r="K17" i="18"/>
  <c r="K64" i="18"/>
  <c r="K124" i="18"/>
  <c r="K47" i="18"/>
  <c r="L121" i="18"/>
  <c r="L90" i="18"/>
  <c r="L35" i="18"/>
  <c r="L96" i="18"/>
  <c r="L58" i="18"/>
  <c r="L61" i="18"/>
  <c r="L73" i="18"/>
  <c r="L17" i="18"/>
  <c r="L64" i="18"/>
  <c r="L124" i="18"/>
  <c r="L47" i="18"/>
  <c r="E16" i="20" a="1"/>
  <c r="E16" i="20"/>
  <c r="E14" i="20" a="1"/>
  <c r="E14" i="20"/>
  <c r="E8" i="20" a="1"/>
  <c r="E8" i="20"/>
  <c r="E7" i="20" a="1"/>
  <c r="E7" i="20"/>
  <c r="E45" i="20" a="1"/>
  <c r="E45" i="20"/>
  <c r="E20" i="20" a="1"/>
  <c r="E20" i="20"/>
  <c r="E9" i="20" a="1"/>
  <c r="E9" i="20"/>
  <c r="E39" i="20" a="1"/>
  <c r="E39" i="20"/>
  <c r="E26" i="20" a="1"/>
  <c r="E26" i="20"/>
  <c r="E44" i="20" a="1"/>
  <c r="E44" i="20"/>
  <c r="E18" i="20" a="1"/>
  <c r="E18" i="20"/>
  <c r="E17" i="20" a="1"/>
  <c r="E17" i="20"/>
  <c r="E52" i="20" a="1"/>
  <c r="E52" i="20"/>
  <c r="E38" i="20" a="1"/>
  <c r="E38" i="20"/>
  <c r="E12" i="20" a="1"/>
  <c r="E12" i="20"/>
  <c r="E35" i="20" a="1"/>
  <c r="E35" i="20"/>
  <c r="E43" i="20" a="1"/>
  <c r="E43" i="20"/>
  <c r="E50" i="20" a="1"/>
  <c r="E50" i="20"/>
  <c r="E30" i="20" a="1"/>
  <c r="E30" i="20"/>
  <c r="L142" i="18"/>
  <c r="L138" i="18"/>
  <c r="L137" i="18"/>
  <c r="L24" i="18"/>
  <c r="L84" i="18"/>
  <c r="L77" i="18"/>
  <c r="L68" i="18"/>
  <c r="L69" i="18"/>
  <c r="L67" i="18"/>
  <c r="L147" i="18"/>
  <c r="K142" i="18"/>
  <c r="K138" i="18"/>
  <c r="K137" i="18"/>
  <c r="K24" i="18"/>
  <c r="K84" i="18"/>
  <c r="K77" i="18"/>
  <c r="K68" i="18"/>
  <c r="K69" i="18"/>
  <c r="K67" i="18"/>
  <c r="K147" i="18"/>
  <c r="J142" i="18"/>
  <c r="J138" i="18"/>
  <c r="J137" i="18"/>
  <c r="J24" i="18"/>
  <c r="J84" i="18"/>
  <c r="J77" i="18"/>
  <c r="J68" i="18"/>
  <c r="J69" i="18"/>
  <c r="J67" i="18"/>
  <c r="J147" i="18"/>
  <c r="E31" i="20" a="1"/>
  <c r="E31" i="20"/>
  <c r="E11" i="20" a="1"/>
  <c r="E11" i="20"/>
  <c r="E32" i="20" a="1"/>
  <c r="E32" i="20"/>
  <c r="H3" i="18" a="1"/>
  <c r="H3" i="18"/>
  <c r="I3" i="18" a="1"/>
  <c r="I3" i="18"/>
  <c r="H5" i="18" a="1"/>
  <c r="H5" i="18"/>
  <c r="I5" i="18" a="1"/>
  <c r="I5" i="18"/>
  <c r="H7" i="18" a="1"/>
  <c r="H7" i="18"/>
  <c r="I7" i="18" a="1"/>
  <c r="I7" i="18"/>
  <c r="H8" i="18" a="1"/>
  <c r="H8" i="18"/>
  <c r="I8" i="18" a="1"/>
  <c r="I8" i="18"/>
  <c r="H9" i="18" a="1"/>
  <c r="H9" i="18"/>
  <c r="I9" i="18" a="1"/>
  <c r="I9" i="18"/>
  <c r="H10" i="18" a="1"/>
  <c r="H10" i="18"/>
  <c r="I10" i="18" a="1"/>
  <c r="I10" i="18"/>
  <c r="H11" i="18" a="1"/>
  <c r="H11" i="18"/>
  <c r="I11" i="18" a="1"/>
  <c r="I11" i="18"/>
  <c r="H12" i="18" a="1"/>
  <c r="H12" i="18"/>
  <c r="I12" i="18" a="1"/>
  <c r="I12" i="18"/>
  <c r="H74" i="18" a="1"/>
  <c r="H74" i="18"/>
  <c r="I74" i="18" a="1"/>
  <c r="I74" i="18"/>
  <c r="H13" i="18" a="1"/>
  <c r="H13" i="18"/>
  <c r="I13" i="18" a="1"/>
  <c r="I13" i="18"/>
  <c r="H14" i="18" a="1"/>
  <c r="H14" i="18"/>
  <c r="I14" i="18" a="1"/>
  <c r="I14" i="18"/>
  <c r="H15" i="18" a="1"/>
  <c r="H15" i="18"/>
  <c r="I15" i="18" a="1"/>
  <c r="I15" i="18"/>
  <c r="H16" i="18" a="1"/>
  <c r="H16" i="18"/>
  <c r="I16" i="18" a="1"/>
  <c r="I16" i="18"/>
  <c r="H18" i="18" a="1"/>
  <c r="H18" i="18"/>
  <c r="I18" i="18" a="1"/>
  <c r="I18" i="18"/>
  <c r="H20" i="18" a="1"/>
  <c r="H20" i="18"/>
  <c r="I20" i="18" a="1"/>
  <c r="I20" i="18"/>
  <c r="H19" i="18" a="1"/>
  <c r="H19" i="18"/>
  <c r="I19" i="18" a="1"/>
  <c r="I19" i="18"/>
  <c r="H21" i="18" a="1"/>
  <c r="H21" i="18"/>
  <c r="I21" i="18" a="1"/>
  <c r="I21" i="18"/>
  <c r="H22" i="18" a="1"/>
  <c r="H22" i="18"/>
  <c r="I22" i="18" a="1"/>
  <c r="I22" i="18"/>
  <c r="H25" i="18" a="1"/>
  <c r="H25" i="18"/>
  <c r="I25" i="18" a="1"/>
  <c r="I25" i="18"/>
  <c r="H26" i="18" a="1"/>
  <c r="H26" i="18"/>
  <c r="I26" i="18" a="1"/>
  <c r="I26" i="18"/>
  <c r="H27" i="18" a="1"/>
  <c r="H27" i="18"/>
  <c r="I27" i="18" a="1"/>
  <c r="I27" i="18"/>
  <c r="H28" i="18" a="1"/>
  <c r="H28" i="18"/>
  <c r="I28" i="18" a="1"/>
  <c r="I28" i="18"/>
  <c r="H29" i="18" a="1"/>
  <c r="H29" i="18"/>
  <c r="I29" i="18" a="1"/>
  <c r="I29" i="18"/>
  <c r="H30" i="18" a="1"/>
  <c r="H30" i="18"/>
  <c r="I30" i="18" a="1"/>
  <c r="I30" i="18"/>
  <c r="H31" i="18" a="1"/>
  <c r="H31" i="18"/>
  <c r="I31" i="18" a="1"/>
  <c r="I31" i="18"/>
  <c r="H32" i="18" a="1"/>
  <c r="H32" i="18"/>
  <c r="I32" i="18" a="1"/>
  <c r="I32" i="18"/>
  <c r="H33" i="18" a="1"/>
  <c r="H33" i="18"/>
  <c r="I33" i="18" a="1"/>
  <c r="I33" i="18"/>
  <c r="H34" i="18" a="1"/>
  <c r="H34" i="18"/>
  <c r="I34" i="18" a="1"/>
  <c r="I34" i="18"/>
  <c r="H36" i="18" a="1"/>
  <c r="H36" i="18"/>
  <c r="I36" i="18" a="1"/>
  <c r="I36" i="18"/>
  <c r="H37" i="18" a="1"/>
  <c r="H37" i="18"/>
  <c r="I37" i="18" a="1"/>
  <c r="I37" i="18"/>
  <c r="H38" i="18" a="1"/>
  <c r="H38" i="18"/>
  <c r="I38" i="18" a="1"/>
  <c r="I38" i="18"/>
  <c r="H39" i="18" a="1"/>
  <c r="H39" i="18"/>
  <c r="I39" i="18" a="1"/>
  <c r="I39" i="18"/>
  <c r="H40" i="18" a="1"/>
  <c r="H40" i="18"/>
  <c r="I40" i="18" a="1"/>
  <c r="I40" i="18"/>
  <c r="H41" i="18" a="1"/>
  <c r="H41" i="18"/>
  <c r="I41" i="18" a="1"/>
  <c r="I41" i="18"/>
  <c r="H42" i="18" a="1"/>
  <c r="H42" i="18"/>
  <c r="I42" i="18" a="1"/>
  <c r="I42" i="18"/>
  <c r="H43" i="18" a="1"/>
  <c r="H43" i="18"/>
  <c r="I43" i="18" a="1"/>
  <c r="I43" i="18"/>
  <c r="H44" i="18" a="1"/>
  <c r="H44" i="18"/>
  <c r="I44" i="18" a="1"/>
  <c r="I44" i="18"/>
  <c r="H45" i="18" a="1"/>
  <c r="H45" i="18"/>
  <c r="I45" i="18" a="1"/>
  <c r="I45" i="18"/>
  <c r="H50" i="18" a="1"/>
  <c r="H50" i="18"/>
  <c r="I50" i="18" a="1"/>
  <c r="I50" i="18"/>
  <c r="H49" i="18" a="1"/>
  <c r="H49" i="18"/>
  <c r="I49" i="18" a="1"/>
  <c r="I49" i="18"/>
  <c r="H51" i="18" a="1"/>
  <c r="H51" i="18"/>
  <c r="I51" i="18" a="1"/>
  <c r="I51" i="18"/>
  <c r="H52" i="18" a="1"/>
  <c r="H52" i="18"/>
  <c r="I52" i="18" a="1"/>
  <c r="I52" i="18"/>
  <c r="H53" i="18" a="1"/>
  <c r="H53" i="18"/>
  <c r="I53" i="18" a="1"/>
  <c r="I53" i="18"/>
  <c r="H54" i="18" a="1"/>
  <c r="H54" i="18"/>
  <c r="I54" i="18" a="1"/>
  <c r="I54" i="18"/>
  <c r="H55" i="18" a="1"/>
  <c r="H55" i="18"/>
  <c r="I55" i="18" a="1"/>
  <c r="I55" i="18"/>
  <c r="H56" i="18" a="1"/>
  <c r="H56" i="18"/>
  <c r="I56" i="18" a="1"/>
  <c r="I56" i="18"/>
  <c r="H57" i="18" a="1"/>
  <c r="H57" i="18"/>
  <c r="I57" i="18" a="1"/>
  <c r="I57" i="18"/>
  <c r="H59" i="18" a="1"/>
  <c r="H59" i="18"/>
  <c r="I59" i="18" a="1"/>
  <c r="I59" i="18"/>
  <c r="H60" i="18" a="1"/>
  <c r="H60" i="18"/>
  <c r="I60" i="18" a="1"/>
  <c r="I60" i="18"/>
  <c r="H75" i="18" a="1"/>
  <c r="H75" i="18"/>
  <c r="I75" i="18" a="1"/>
  <c r="I75" i="18"/>
  <c r="H62" i="18" a="1"/>
  <c r="H62" i="18"/>
  <c r="I62" i="18" a="1"/>
  <c r="I62" i="18"/>
  <c r="H63" i="18" a="1"/>
  <c r="H63" i="18"/>
  <c r="I63" i="18" a="1"/>
  <c r="I63" i="18"/>
  <c r="H65" i="18" a="1"/>
  <c r="H65" i="18"/>
  <c r="I65" i="18" a="1"/>
  <c r="I65" i="18"/>
  <c r="H66" i="18" a="1"/>
  <c r="H66" i="18"/>
  <c r="I66" i="18" a="1"/>
  <c r="I66" i="18"/>
  <c r="H76" i="18" a="1"/>
  <c r="H76" i="18"/>
  <c r="I76" i="18" a="1"/>
  <c r="I76" i="18"/>
  <c r="H71" i="18" a="1"/>
  <c r="H71" i="18"/>
  <c r="I71" i="18" a="1"/>
  <c r="I71" i="18"/>
  <c r="H78" i="18" a="1"/>
  <c r="H78" i="18"/>
  <c r="I78" i="18" a="1"/>
  <c r="I78" i="18"/>
  <c r="H79" i="18" a="1"/>
  <c r="H79" i="18"/>
  <c r="I79" i="18" a="1"/>
  <c r="I79" i="18"/>
  <c r="H80" i="18" a="1"/>
  <c r="H80" i="18"/>
  <c r="I80" i="18" a="1"/>
  <c r="I80" i="18"/>
  <c r="H81" i="18" a="1"/>
  <c r="H81" i="18"/>
  <c r="I81" i="18" a="1"/>
  <c r="I81" i="18"/>
  <c r="H82" i="18" a="1"/>
  <c r="H82" i="18"/>
  <c r="I82" i="18" a="1"/>
  <c r="I82" i="18"/>
  <c r="H83" i="18" a="1"/>
  <c r="H83" i="18"/>
  <c r="I83" i="18" a="1"/>
  <c r="I83" i="18"/>
  <c r="H85" i="18" a="1"/>
  <c r="H85" i="18"/>
  <c r="I85" i="18" a="1"/>
  <c r="I85" i="18"/>
  <c r="H86" i="18" a="1"/>
  <c r="H86" i="18"/>
  <c r="I86" i="18" a="1"/>
  <c r="I86" i="18"/>
  <c r="H87" i="18" a="1"/>
  <c r="H87" i="18"/>
  <c r="I87" i="18" a="1"/>
  <c r="I87" i="18"/>
  <c r="H89" i="18" a="1"/>
  <c r="H89" i="18"/>
  <c r="I89" i="18" a="1"/>
  <c r="I89" i="18"/>
  <c r="H91" i="18" a="1"/>
  <c r="H91" i="18"/>
  <c r="I91" i="18" a="1"/>
  <c r="I91" i="18"/>
  <c r="H92" i="18" a="1"/>
  <c r="H92" i="18"/>
  <c r="I92" i="18" a="1"/>
  <c r="I92" i="18"/>
  <c r="H93" i="18" a="1"/>
  <c r="H93" i="18"/>
  <c r="I93" i="18" a="1"/>
  <c r="I93" i="18"/>
  <c r="H94" i="18" a="1"/>
  <c r="H94" i="18"/>
  <c r="I94" i="18" a="1"/>
  <c r="I94" i="18"/>
  <c r="H95" i="18" a="1"/>
  <c r="H95" i="18"/>
  <c r="I95" i="18" a="1"/>
  <c r="I95" i="18"/>
  <c r="H97" i="18" a="1"/>
  <c r="H97" i="18"/>
  <c r="I97" i="18" a="1"/>
  <c r="I97" i="18"/>
  <c r="H98" i="18" a="1"/>
  <c r="H98" i="18"/>
  <c r="I98" i="18" a="1"/>
  <c r="I98" i="18"/>
  <c r="H99" i="18" a="1"/>
  <c r="H99" i="18"/>
  <c r="I99" i="18" a="1"/>
  <c r="I99" i="18"/>
  <c r="H100" i="18" a="1"/>
  <c r="H100" i="18"/>
  <c r="I100" i="18" a="1"/>
  <c r="I100" i="18"/>
  <c r="H102" i="18" a="1"/>
  <c r="H102" i="18"/>
  <c r="I102" i="18" a="1"/>
  <c r="I102" i="18"/>
  <c r="H104" i="18" a="1"/>
  <c r="H104" i="18"/>
  <c r="I104" i="18" a="1"/>
  <c r="I104" i="18"/>
  <c r="H105" i="18" a="1"/>
  <c r="H105" i="18"/>
  <c r="I105" i="18" a="1"/>
  <c r="I105" i="18"/>
  <c r="H107" i="18" a="1"/>
  <c r="H107" i="18"/>
  <c r="I107" i="18" a="1"/>
  <c r="I107" i="18"/>
  <c r="H109" i="18" a="1"/>
  <c r="H109" i="18"/>
  <c r="I109" i="18" a="1"/>
  <c r="I109" i="18"/>
  <c r="H110" i="18" a="1"/>
  <c r="H110" i="18"/>
  <c r="I110" i="18" a="1"/>
  <c r="I110" i="18"/>
  <c r="H111" i="18" a="1"/>
  <c r="H111" i="18"/>
  <c r="I111" i="18" a="1"/>
  <c r="I111" i="18"/>
  <c r="H112" i="18" a="1"/>
  <c r="H112" i="18"/>
  <c r="I112" i="18" a="1"/>
  <c r="I112" i="18"/>
  <c r="H113" i="18" a="1"/>
  <c r="H113" i="18"/>
  <c r="I113" i="18" a="1"/>
  <c r="I113" i="18"/>
  <c r="H114" i="18" a="1"/>
  <c r="H114" i="18"/>
  <c r="I114" i="18" a="1"/>
  <c r="I114" i="18"/>
  <c r="H115" i="18" a="1"/>
  <c r="H115" i="18"/>
  <c r="I115" i="18" a="1"/>
  <c r="I115" i="18"/>
  <c r="H116" i="18" a="1"/>
  <c r="H116" i="18"/>
  <c r="I116" i="18" a="1"/>
  <c r="I116" i="18"/>
  <c r="H117" i="18" a="1"/>
  <c r="H117" i="18"/>
  <c r="I117" i="18" a="1"/>
  <c r="I117" i="18"/>
  <c r="H118" i="18" a="1"/>
  <c r="H118" i="18"/>
  <c r="I118" i="18" a="1"/>
  <c r="I118" i="18"/>
  <c r="H119" i="18" a="1"/>
  <c r="H119" i="18"/>
  <c r="I119" i="18" a="1"/>
  <c r="I119" i="18"/>
  <c r="H120" i="18" a="1"/>
  <c r="H120" i="18"/>
  <c r="I120" i="18" a="1"/>
  <c r="I120" i="18"/>
  <c r="H122" i="18" a="1"/>
  <c r="H122" i="18"/>
  <c r="I122" i="18" a="1"/>
  <c r="I122" i="18"/>
  <c r="H123" i="18" a="1"/>
  <c r="H123" i="18"/>
  <c r="I123" i="18" a="1"/>
  <c r="I123" i="18"/>
  <c r="H125" i="18" a="1"/>
  <c r="H125" i="18"/>
  <c r="I125" i="18" a="1"/>
  <c r="I125" i="18"/>
  <c r="H126" i="18" a="1"/>
  <c r="H126" i="18"/>
  <c r="I126" i="18" a="1"/>
  <c r="I126" i="18"/>
  <c r="H127" i="18" a="1"/>
  <c r="H127" i="18"/>
  <c r="I127" i="18" a="1"/>
  <c r="I127" i="18"/>
  <c r="H128" i="18" a="1"/>
  <c r="H128" i="18"/>
  <c r="I128" i="18" a="1"/>
  <c r="I128" i="18"/>
  <c r="H132" i="18" a="1"/>
  <c r="H132" i="18"/>
  <c r="I132" i="18" a="1"/>
  <c r="I132" i="18"/>
  <c r="H133" i="18" a="1"/>
  <c r="H133" i="18"/>
  <c r="I133" i="18" a="1"/>
  <c r="I133" i="18"/>
  <c r="H134" i="18" a="1"/>
  <c r="H134" i="18"/>
  <c r="I134" i="18" a="1"/>
  <c r="I134" i="18"/>
  <c r="H135" i="18" a="1"/>
  <c r="H135" i="18"/>
  <c r="I135" i="18" a="1"/>
  <c r="I135" i="18"/>
  <c r="H136" i="18" a="1"/>
  <c r="H136" i="18"/>
  <c r="I136" i="18" a="1"/>
  <c r="I136" i="18"/>
  <c r="H140" i="18" a="1"/>
  <c r="H140" i="18"/>
  <c r="I140" i="18" a="1"/>
  <c r="I140" i="18"/>
  <c r="H142" i="18" a="1"/>
  <c r="H142" i="18"/>
  <c r="I142" i="18" a="1"/>
  <c r="I142" i="18"/>
  <c r="H143" i="18" a="1"/>
  <c r="H143" i="18"/>
  <c r="I143" i="18" a="1"/>
  <c r="I143" i="18"/>
  <c r="H144" i="18" a="1"/>
  <c r="H144" i="18"/>
  <c r="I144" i="18" a="1"/>
  <c r="I144" i="18"/>
  <c r="H145" i="18" a="1"/>
  <c r="H145" i="18"/>
  <c r="I145" i="18" a="1"/>
  <c r="I145" i="18"/>
  <c r="H146" i="18" a="1"/>
  <c r="H146" i="18"/>
  <c r="I146" i="18" a="1"/>
  <c r="I146" i="18"/>
  <c r="H148" i="18" a="1"/>
  <c r="H148" i="18"/>
  <c r="I148" i="18" a="1"/>
  <c r="I148" i="18"/>
  <c r="H149" i="18" a="1"/>
  <c r="H149" i="18"/>
  <c r="I149" i="18" a="1"/>
  <c r="I149" i="18"/>
  <c r="H150" i="18" a="1"/>
  <c r="H150" i="18"/>
  <c r="I150" i="18" a="1"/>
  <c r="I150" i="18"/>
  <c r="H151" i="18" a="1"/>
  <c r="H151" i="18"/>
  <c r="I151" i="18" a="1"/>
  <c r="I151" i="18"/>
  <c r="H138" i="18" a="1"/>
  <c r="H138" i="18"/>
  <c r="I138" i="18" a="1"/>
  <c r="I138" i="18"/>
  <c r="H137" i="18" a="1"/>
  <c r="H137" i="18"/>
  <c r="I137" i="18" a="1"/>
  <c r="I137" i="18"/>
  <c r="H24" i="18" a="1"/>
  <c r="H24" i="18"/>
  <c r="I24" i="18" a="1"/>
  <c r="I24" i="18"/>
  <c r="H84" i="18" a="1"/>
  <c r="H84" i="18"/>
  <c r="I84" i="18" a="1"/>
  <c r="I84" i="18"/>
  <c r="H77" i="18" a="1"/>
  <c r="H77" i="18"/>
  <c r="I77" i="18" a="1"/>
  <c r="I77" i="18"/>
  <c r="H68" i="18" a="1"/>
  <c r="H68" i="18"/>
  <c r="I68" i="18" a="1"/>
  <c r="I68" i="18"/>
  <c r="H69" i="18" a="1"/>
  <c r="H69" i="18"/>
  <c r="I69" i="18" a="1"/>
  <c r="I69" i="18"/>
  <c r="H67" i="18" a="1"/>
  <c r="H67" i="18"/>
  <c r="I67" i="18" a="1"/>
  <c r="I67" i="18"/>
  <c r="H147" i="18" a="1"/>
  <c r="H147" i="18"/>
  <c r="I147" i="18" a="1"/>
  <c r="I147" i="18"/>
  <c r="E49" i="20" a="1"/>
  <c r="E49" i="20"/>
  <c r="E10" i="20" a="1"/>
  <c r="E10" i="20"/>
  <c r="E33" i="20" a="1"/>
  <c r="E33" i="20"/>
  <c r="E34" i="20" a="1"/>
  <c r="E34" i="20"/>
  <c r="E37" i="20" a="1"/>
  <c r="E37" i="20"/>
  <c r="E27" i="20" a="1"/>
  <c r="E27" i="20"/>
  <c r="E28" i="20" a="1"/>
  <c r="E28" i="20"/>
  <c r="E22" i="20" a="1"/>
  <c r="E22" i="20"/>
  <c r="E29" i="20" a="1"/>
  <c r="E29" i="20"/>
  <c r="E23" i="20" a="1"/>
  <c r="E23" i="20"/>
  <c r="E21" i="20" a="1"/>
  <c r="E21" i="20"/>
  <c r="E54" i="20" a="1"/>
  <c r="E54" i="20"/>
  <c r="E323" i="16"/>
  <c r="E2" i="16"/>
  <c r="E11" i="16"/>
  <c r="E89" i="16"/>
  <c r="E95" i="16"/>
  <c r="E134" i="16"/>
  <c r="E145" i="16"/>
  <c r="E168" i="16"/>
  <c r="E183" i="16"/>
  <c r="E202" i="16"/>
  <c r="E219" i="16"/>
  <c r="E272" i="16"/>
  <c r="E310" i="16"/>
  <c r="E387" i="16"/>
  <c r="E394" i="16"/>
  <c r="E439" i="16"/>
  <c r="E456" i="16"/>
  <c r="E283" i="16"/>
  <c r="E32" i="16"/>
  <c r="K7" i="18" s="1"/>
  <c r="E42" i="16"/>
  <c r="K8" i="18" s="1"/>
  <c r="E3" i="16"/>
  <c r="K9" i="18" s="1"/>
  <c r="E19" i="16"/>
  <c r="E12" i="16"/>
  <c r="E203" i="16"/>
  <c r="E146" i="16"/>
  <c r="E220" i="16"/>
  <c r="L12" i="18" s="1"/>
  <c r="E13" i="16"/>
  <c r="E384" i="16"/>
  <c r="E20" i="16"/>
  <c r="E43" i="16"/>
  <c r="E96" i="16"/>
  <c r="E116" i="16"/>
  <c r="E135" i="16"/>
  <c r="E147" i="16"/>
  <c r="E159" i="16"/>
  <c r="E169" i="16"/>
  <c r="E197" i="16"/>
  <c r="E204" i="16"/>
  <c r="E221" i="16"/>
  <c r="E262" i="16"/>
  <c r="E266" i="16"/>
  <c r="E273" i="16"/>
  <c r="E296" i="16"/>
  <c r="E311" i="16"/>
  <c r="E324" i="16"/>
  <c r="E337" i="16"/>
  <c r="E363" i="16"/>
  <c r="E388" i="16"/>
  <c r="E395" i="16"/>
  <c r="E403" i="16"/>
  <c r="E419" i="16"/>
  <c r="E248" i="16"/>
  <c r="E4" i="16"/>
  <c r="E55" i="16"/>
  <c r="E284" i="16"/>
  <c r="E239" i="16"/>
  <c r="E357" i="16"/>
  <c r="E440" i="16"/>
  <c r="E67" i="16"/>
  <c r="E107" i="16"/>
  <c r="E457" i="16"/>
  <c r="E33" i="16"/>
  <c r="E68" i="16"/>
  <c r="E297" i="16"/>
  <c r="E411" i="16"/>
  <c r="E108" i="16"/>
  <c r="E34" i="16"/>
  <c r="E44" i="16"/>
  <c r="E56" i="16"/>
  <c r="E69" i="16"/>
  <c r="E21" i="16"/>
  <c r="E160" i="16"/>
  <c r="E249" i="16"/>
  <c r="E430" i="16"/>
  <c r="E45" i="16"/>
  <c r="K18" i="18" s="1"/>
  <c r="E420" i="16"/>
  <c r="E338" i="16"/>
  <c r="E57" i="16"/>
  <c r="E109" i="16"/>
  <c r="E76" i="16"/>
  <c r="K21" i="18" s="1"/>
  <c r="E90" i="16"/>
  <c r="L22" i="18" s="1"/>
  <c r="E82" i="16"/>
  <c r="J23" i="18" s="1"/>
  <c r="E351" i="16"/>
  <c r="L25" i="18" s="1"/>
  <c r="E97" i="16"/>
  <c r="E125" i="16"/>
  <c r="E136" i="16"/>
  <c r="E148" i="16"/>
  <c r="E170" i="16"/>
  <c r="E212" i="16"/>
  <c r="E222" i="16"/>
  <c r="E441" i="16"/>
  <c r="E263" i="16"/>
  <c r="E267" i="16"/>
  <c r="E274" i="16"/>
  <c r="E285" i="16"/>
  <c r="E325" i="16"/>
  <c r="E358" i="16"/>
  <c r="E137" i="16"/>
  <c r="E126" i="16"/>
  <c r="E98" i="16"/>
  <c r="E149" i="16"/>
  <c r="E171" i="16"/>
  <c r="E389" i="16"/>
  <c r="E99" i="16"/>
  <c r="E138" i="16"/>
  <c r="E150" i="16"/>
  <c r="E172" i="16"/>
  <c r="E205" i="16"/>
  <c r="E223" i="16"/>
  <c r="E268" i="16"/>
  <c r="E275" i="16"/>
  <c r="E298" i="16"/>
  <c r="E312" i="16"/>
  <c r="E390" i="16"/>
  <c r="E396" i="16"/>
  <c r="E14" i="16"/>
  <c r="E184" i="16"/>
  <c r="E5" i="16"/>
  <c r="E286" i="16"/>
  <c r="E442" i="16"/>
  <c r="E458" i="16"/>
  <c r="E22" i="16"/>
  <c r="E35" i="16"/>
  <c r="E46" i="16"/>
  <c r="E127" i="16"/>
  <c r="E161" i="16"/>
  <c r="E250" i="16"/>
  <c r="E326" i="16"/>
  <c r="E359" i="16"/>
  <c r="E364" i="16"/>
  <c r="E404" i="16"/>
  <c r="E421" i="16"/>
  <c r="E431" i="16"/>
  <c r="E58" i="16"/>
  <c r="E339" i="16"/>
  <c r="E70" i="16"/>
  <c r="E264" i="16"/>
  <c r="L32" i="18" s="1"/>
  <c r="E299" i="16"/>
  <c r="L33" i="18" s="1"/>
  <c r="E47" i="16"/>
  <c r="E128" i="16"/>
  <c r="E185" i="16"/>
  <c r="E206" i="16"/>
  <c r="E365" i="16"/>
  <c r="E405" i="16"/>
  <c r="E432" i="16"/>
  <c r="E340" i="16"/>
  <c r="E269" i="16"/>
  <c r="J36" i="18" s="1"/>
  <c r="E360" i="16"/>
  <c r="E443" i="16"/>
  <c r="E459" i="16"/>
  <c r="E207" i="16"/>
  <c r="E224" i="16"/>
  <c r="E162" i="16"/>
  <c r="K38" i="18" s="1"/>
  <c r="E208" i="16"/>
  <c r="E397" i="16"/>
  <c r="E110" i="16"/>
  <c r="E83" i="16"/>
  <c r="E352" i="16"/>
  <c r="E117" i="16"/>
  <c r="E186" i="16"/>
  <c r="E251" i="16"/>
  <c r="E36" i="16"/>
  <c r="E300" i="16"/>
  <c r="E240" i="16"/>
  <c r="E373" i="16"/>
  <c r="E444" i="16"/>
  <c r="E460" i="16"/>
  <c r="E225" i="16"/>
  <c r="J44" i="18" s="1"/>
  <c r="E433" i="16"/>
  <c r="E129" i="16"/>
  <c r="E252" i="16"/>
  <c r="E445" i="16"/>
  <c r="L50" i="18" s="1"/>
  <c r="E198" i="16"/>
  <c r="L49" i="18" s="1"/>
  <c r="E451" i="16"/>
  <c r="K51" i="18" s="1"/>
  <c r="E209" i="16"/>
  <c r="J52" i="18" s="1"/>
  <c r="E327" i="16"/>
  <c r="E417" i="16"/>
  <c r="E213" i="16"/>
  <c r="J54" i="18" s="1"/>
  <c r="E100" i="16"/>
  <c r="K55" i="18" s="1"/>
  <c r="E434" i="16"/>
  <c r="E341" i="16"/>
  <c r="E328" i="16"/>
  <c r="J57" i="18" s="1"/>
  <c r="E48" i="16"/>
  <c r="E187" i="16"/>
  <c r="E214" i="16"/>
  <c r="E366" i="16"/>
  <c r="E287" i="16"/>
  <c r="E374" i="16"/>
  <c r="E59" i="16"/>
  <c r="E253" i="16"/>
  <c r="L60" i="18" s="1"/>
  <c r="E151" i="16"/>
  <c r="E226" i="16"/>
  <c r="E313" i="16"/>
  <c r="J62" i="18" s="1"/>
  <c r="E375" i="16"/>
  <c r="K63" i="18" s="1"/>
  <c r="E233" i="16"/>
  <c r="K65" i="18" s="1"/>
  <c r="E254" i="16"/>
  <c r="E265" i="16"/>
  <c r="E270" i="16"/>
  <c r="E276" i="16"/>
  <c r="E288" i="16"/>
  <c r="E301" i="16"/>
  <c r="E314" i="16"/>
  <c r="E241" i="16"/>
  <c r="E320" i="16"/>
  <c r="E446" i="16"/>
  <c r="E37" i="16"/>
  <c r="E353" i="16"/>
  <c r="L71" i="18" s="1"/>
  <c r="E49" i="16"/>
  <c r="E367" i="16"/>
  <c r="E71" i="16"/>
  <c r="E173" i="16"/>
  <c r="E188" i="16"/>
  <c r="E60" i="16"/>
  <c r="E376" i="16"/>
  <c r="E77" i="16"/>
  <c r="E91" i="16"/>
  <c r="E84" i="16"/>
  <c r="E111" i="16"/>
  <c r="E199" i="16"/>
  <c r="E234" i="16"/>
  <c r="E289" i="16"/>
  <c r="E315" i="16"/>
  <c r="E242" i="16"/>
  <c r="E342" i="16"/>
  <c r="E368" i="16"/>
  <c r="E452" i="16"/>
  <c r="E23" i="16"/>
  <c r="E118" i="16"/>
  <c r="E112" i="16"/>
  <c r="E139" i="16"/>
  <c r="E152" i="16"/>
  <c r="E163" i="16"/>
  <c r="E174" i="16"/>
  <c r="E200" i="16"/>
  <c r="E210" i="16"/>
  <c r="E227" i="16"/>
  <c r="E255" i="16"/>
  <c r="E271" i="16"/>
  <c r="E277" i="16"/>
  <c r="E290" i="16"/>
  <c r="E316" i="16"/>
  <c r="E243" i="16"/>
  <c r="E447" i="16"/>
  <c r="E391" i="16"/>
  <c r="E385" i="16"/>
  <c r="E448" i="16"/>
  <c r="E140" i="16"/>
  <c r="E278" i="16"/>
  <c r="E101" i="16"/>
  <c r="K83" i="18" s="1"/>
  <c r="E92" i="16"/>
  <c r="E85" i="16"/>
  <c r="E215" i="16"/>
  <c r="E235" i="16"/>
  <c r="E354" i="16"/>
  <c r="E61" i="16"/>
  <c r="E78" i="16"/>
  <c r="E72" i="16"/>
  <c r="E175" i="16"/>
  <c r="E189" i="16"/>
  <c r="E377" i="16"/>
  <c r="E398" i="16"/>
  <c r="E378" i="16"/>
  <c r="E119" i="16"/>
  <c r="E201" i="16"/>
  <c r="E113" i="16"/>
  <c r="E190" i="16"/>
  <c r="E369" i="16"/>
  <c r="E399" i="16"/>
  <c r="E400" i="16"/>
  <c r="K91" i="18" s="1"/>
  <c r="E302" i="16"/>
  <c r="E317" i="16"/>
  <c r="E303" i="16"/>
  <c r="L93" i="18" s="1"/>
  <c r="E343" i="16"/>
  <c r="E370" i="16"/>
  <c r="E62" i="16"/>
  <c r="E329" i="16"/>
  <c r="E344" i="16"/>
  <c r="E379" i="16"/>
  <c r="E86" i="16"/>
  <c r="E355" i="16"/>
  <c r="E79" i="16"/>
  <c r="E321" i="16"/>
  <c r="E6" i="16"/>
  <c r="E50" i="16"/>
  <c r="E63" i="16"/>
  <c r="E73" i="16"/>
  <c r="E102" i="16"/>
  <c r="E244" i="16"/>
  <c r="E406" i="16"/>
  <c r="E176" i="16"/>
  <c r="E291" i="16"/>
  <c r="E345" i="16"/>
  <c r="E38" i="16"/>
  <c r="E191" i="16"/>
  <c r="E228" i="16"/>
  <c r="E435" i="16"/>
  <c r="E192" i="16"/>
  <c r="J100" i="18" s="1"/>
  <c r="E256" i="16"/>
  <c r="L102" i="18" s="1"/>
  <c r="E412" i="16"/>
  <c r="E330" i="16"/>
  <c r="E422" i="16"/>
  <c r="J105" i="18" s="1"/>
  <c r="E413" i="16"/>
  <c r="L107" i="18" s="1"/>
  <c r="E436" i="16"/>
  <c r="J109" i="18" s="1"/>
  <c r="E114" i="16"/>
  <c r="K110" i="18" s="1"/>
  <c r="E39" i="16"/>
  <c r="J111" i="18" s="1"/>
  <c r="E120" i="16"/>
  <c r="E236" i="16"/>
  <c r="E331" i="16"/>
  <c r="E380" i="16"/>
  <c r="E453" i="16"/>
  <c r="E80" i="16"/>
  <c r="E346" i="16"/>
  <c r="E414" i="16"/>
  <c r="E423" i="16"/>
  <c r="E437" i="16"/>
  <c r="E7" i="16"/>
  <c r="E15" i="16"/>
  <c r="E24" i="16"/>
  <c r="E51" i="16"/>
  <c r="E64" i="16"/>
  <c r="E93" i="16"/>
  <c r="E87" i="16"/>
  <c r="E130" i="16"/>
  <c r="E141" i="16"/>
  <c r="E177" i="16"/>
  <c r="E193" i="16"/>
  <c r="E216" i="16"/>
  <c r="E229" i="16"/>
  <c r="E257" i="16"/>
  <c r="E279" i="16"/>
  <c r="E292" i="16"/>
  <c r="E304" i="16"/>
  <c r="E318" i="16"/>
  <c r="E245" i="16"/>
  <c r="E407" i="16"/>
  <c r="E449" i="16"/>
  <c r="E332" i="16"/>
  <c r="J115" i="18" s="1"/>
  <c r="E25" i="16"/>
  <c r="L116" i="18" s="1"/>
  <c r="E153" i="16"/>
  <c r="E305" i="16"/>
  <c r="E333" i="16"/>
  <c r="E424" i="16"/>
  <c r="E164" i="16"/>
  <c r="J118" i="18" s="1"/>
  <c r="E26" i="16"/>
  <c r="E103" i="16"/>
  <c r="E142" i="16"/>
  <c r="E211" i="16"/>
  <c r="E230" i="16"/>
  <c r="E258" i="16"/>
  <c r="E280" i="16"/>
  <c r="E306" i="16"/>
  <c r="E392" i="16"/>
  <c r="E401" i="16"/>
  <c r="E154" i="16"/>
  <c r="E16" i="16"/>
  <c r="E178" i="16"/>
  <c r="E450" i="16"/>
  <c r="E454" i="16"/>
  <c r="K120" i="18" s="1"/>
  <c r="E74" i="16"/>
  <c r="E179" i="16"/>
  <c r="E194" i="16"/>
  <c r="E381" i="16"/>
  <c r="K123" i="18" s="1"/>
  <c r="E382" i="16"/>
  <c r="L125" i="18" s="1"/>
  <c r="E415" i="16"/>
  <c r="E104" i="16"/>
  <c r="E334" i="16"/>
  <c r="E347" i="16"/>
  <c r="E52" i="16"/>
  <c r="E393" i="16"/>
  <c r="E121" i="16"/>
  <c r="E115" i="16"/>
  <c r="E8" i="16"/>
  <c r="E17" i="16"/>
  <c r="E27" i="16"/>
  <c r="E53" i="16"/>
  <c r="E65" i="16"/>
  <c r="E81" i="16"/>
  <c r="E94" i="16"/>
  <c r="E88" i="16"/>
  <c r="E122" i="16"/>
  <c r="E131" i="16"/>
  <c r="E143" i="16"/>
  <c r="E165" i="16"/>
  <c r="E180" i="16"/>
  <c r="E195" i="16"/>
  <c r="E217" i="16"/>
  <c r="E231" i="16"/>
  <c r="E237" i="16"/>
  <c r="E259" i="16"/>
  <c r="E281" i="16"/>
  <c r="E293" i="16"/>
  <c r="E307" i="16"/>
  <c r="E319" i="16"/>
  <c r="E246" i="16"/>
  <c r="E335" i="16"/>
  <c r="E348" i="16"/>
  <c r="E371" i="16"/>
  <c r="E383" i="16"/>
  <c r="E408" i="16"/>
  <c r="E416" i="16"/>
  <c r="E425" i="16"/>
  <c r="E438" i="16"/>
  <c r="E455" i="16"/>
  <c r="E349" i="16"/>
  <c r="L133" i="18" s="1"/>
  <c r="E28" i="16"/>
  <c r="E40" i="16"/>
  <c r="E132" i="16"/>
  <c r="E308" i="16"/>
  <c r="E350" i="16"/>
  <c r="E361" i="16"/>
  <c r="E372" i="16"/>
  <c r="E426" i="16"/>
  <c r="E75" i="16"/>
  <c r="E294" i="16"/>
  <c r="E322" i="16"/>
  <c r="K136" i="18" s="1"/>
  <c r="E155" i="16"/>
  <c r="K140" i="18" s="1"/>
  <c r="E9" i="16"/>
  <c r="E29" i="16"/>
  <c r="E105" i="16"/>
  <c r="E166" i="16"/>
  <c r="E181" i="16"/>
  <c r="E409" i="16"/>
  <c r="E336" i="16"/>
  <c r="L143" i="18" s="1"/>
  <c r="E309" i="16"/>
  <c r="E427" i="16"/>
  <c r="E260" i="16"/>
  <c r="K145" i="18" s="1"/>
  <c r="E362" i="16"/>
  <c r="J146" i="18" s="1"/>
  <c r="E41" i="16"/>
  <c r="J148" i="18" s="1"/>
  <c r="E123" i="16"/>
  <c r="E144" i="16"/>
  <c r="E282" i="16"/>
  <c r="E428" i="16"/>
  <c r="E10" i="16"/>
  <c r="E133" i="16"/>
  <c r="E156" i="16"/>
  <c r="E30" i="16"/>
  <c r="E295" i="16"/>
  <c r="E218" i="16"/>
  <c r="J150" i="18" s="1"/>
  <c r="E167" i="16"/>
  <c r="E261" i="16"/>
  <c r="E386" i="16"/>
  <c r="E232" i="16"/>
  <c r="E402" i="16"/>
  <c r="E410" i="16"/>
  <c r="E429" i="16"/>
  <c r="E18" i="16"/>
  <c r="E54" i="16"/>
  <c r="E106" i="16"/>
  <c r="E124" i="16"/>
  <c r="E238" i="16"/>
  <c r="E356" i="16"/>
  <c r="E418" i="16"/>
  <c r="E158" i="16"/>
  <c r="E247" i="16"/>
  <c r="E31" i="16"/>
  <c r="E66" i="16"/>
  <c r="E182" i="16"/>
  <c r="E196" i="16"/>
  <c r="E157" i="16"/>
  <c r="J3" i="18" s="1"/>
  <c r="B13" i="15"/>
  <c r="C2" i="14"/>
  <c r="B2" i="14"/>
  <c r="H11" i="14"/>
  <c r="H7" i="14" s="1"/>
  <c r="H8" i="14" s="1" a="1"/>
  <c r="H8" i="14" s="1"/>
  <c r="G11" i="14"/>
  <c r="G12" i="14" s="1" a="1"/>
  <c r="G12" i="14" s="1"/>
  <c r="F11" i="14"/>
  <c r="F7" i="14" s="1"/>
  <c r="F8" i="14" s="1" a="1"/>
  <c r="F8" i="14" s="1"/>
  <c r="E11" i="14"/>
  <c r="E15" i="14" s="1"/>
  <c r="D11" i="14"/>
  <c r="D7" i="14" s="1"/>
  <c r="D8" i="14" s="1" a="1"/>
  <c r="D8" i="14" s="1"/>
  <c r="C11" i="14"/>
  <c r="C15" i="14" s="1"/>
  <c r="B38" i="15"/>
  <c r="B35" i="15"/>
  <c r="B14" i="15"/>
  <c r="B31" i="15"/>
  <c r="B44" i="15"/>
  <c r="B28" i="15"/>
  <c r="B27" i="15"/>
  <c r="B8" i="15"/>
  <c r="B34" i="15"/>
  <c r="B43" i="15"/>
  <c r="B29" i="15"/>
  <c r="B41" i="15"/>
  <c r="B10" i="15"/>
  <c r="B12" i="15"/>
  <c r="B6" i="15"/>
  <c r="B39" i="15"/>
  <c r="B24" i="15"/>
  <c r="B3" i="15"/>
  <c r="B15" i="15"/>
  <c r="B32" i="15"/>
  <c r="B18" i="15"/>
  <c r="B16" i="15"/>
  <c r="B9" i="15"/>
  <c r="B5" i="15"/>
  <c r="B21" i="15"/>
  <c r="B23" i="15"/>
  <c r="B11" i="15"/>
  <c r="B37" i="15"/>
  <c r="B25" i="15"/>
  <c r="B26" i="15"/>
  <c r="B36" i="15"/>
  <c r="B20" i="15"/>
  <c r="B19" i="15"/>
  <c r="B22" i="15"/>
  <c r="B33" i="15"/>
  <c r="B2" i="15"/>
  <c r="B40" i="15"/>
  <c r="B7" i="15"/>
  <c r="B42" i="15"/>
  <c r="F13" i="26" a="1"/>
  <c r="F13" i="26"/>
  <c r="F6" i="26" a="1"/>
  <c r="F6" i="26"/>
  <c r="I46" i="18" a="1"/>
  <c r="I46" i="18"/>
  <c r="F5" i="26" a="1"/>
  <c r="F5" i="26"/>
  <c r="F15" i="26" a="1"/>
  <c r="F15" i="26"/>
  <c r="I70" i="18" a="1"/>
  <c r="I70" i="18"/>
  <c r="F14" i="26" a="1"/>
  <c r="F14" i="26"/>
  <c r="H3" i="19" a="1"/>
  <c r="H3" i="19"/>
  <c r="F3" i="26" a="1"/>
  <c r="F3" i="26"/>
  <c r="F12" i="26" a="1"/>
  <c r="F12" i="26"/>
  <c r="F7" i="26" a="1"/>
  <c r="F7" i="26"/>
  <c r="F8" i="26" a="1"/>
  <c r="F8" i="26"/>
  <c r="L9" i="18"/>
  <c r="J9" i="18"/>
  <c r="L8" i="18"/>
  <c r="J8" i="18"/>
  <c r="L135" i="18"/>
  <c r="J74" i="18"/>
  <c r="L7" i="18"/>
  <c r="L18" i="18"/>
  <c r="J25" i="18"/>
  <c r="J7" i="18"/>
  <c r="J18" i="18"/>
  <c r="L74" i="18"/>
  <c r="K74" i="18"/>
  <c r="K25" i="18"/>
  <c r="A48" i="18"/>
  <c r="J88" i="18"/>
  <c r="J135" i="18"/>
  <c r="L88" i="18"/>
  <c r="H48" i="19" a="1"/>
  <c r="H36" i="19" a="1"/>
  <c r="H47" i="19" a="1"/>
  <c r="H34" i="19" a="1"/>
  <c r="H75" i="19" a="1"/>
  <c r="H74" i="19" a="1"/>
  <c r="H83" i="19" a="1"/>
  <c r="H76" i="19" a="1"/>
  <c r="H88" i="19" a="1"/>
  <c r="H55" i="19" a="1"/>
  <c r="H79" i="19" a="1"/>
  <c r="H90" i="19" a="1"/>
  <c r="H5" i="19" a="1"/>
  <c r="H59" i="19" a="1"/>
  <c r="H16" i="19" a="1"/>
  <c r="H98" i="19" a="1"/>
  <c r="H57" i="19" a="1"/>
  <c r="H10" i="19" a="1"/>
  <c r="H45" i="19" a="1"/>
  <c r="H41" i="19" a="1"/>
  <c r="H21" i="19" a="1"/>
  <c r="H37" i="19" a="1"/>
  <c r="H8" i="19" a="1"/>
  <c r="H93" i="19" a="1"/>
  <c r="H26" i="19" a="1"/>
  <c r="H81" i="19" a="1"/>
  <c r="H50" i="19" a="1"/>
  <c r="H89" i="19" a="1"/>
  <c r="H29" i="19" a="1"/>
  <c r="H86" i="19" a="1"/>
  <c r="H66" i="19" a="1"/>
  <c r="H70" i="19" a="1"/>
  <c r="H78" i="19" a="1"/>
  <c r="H62" i="19" a="1"/>
  <c r="H14" i="19" a="1"/>
  <c r="H28" i="19" a="1"/>
  <c r="H69" i="19" a="1"/>
  <c r="H64" i="19" a="1"/>
  <c r="H77" i="19" a="1"/>
  <c r="H95" i="19" a="1"/>
  <c r="H23" i="19" a="1"/>
  <c r="H84" i="19" a="1"/>
  <c r="H94" i="19" a="1"/>
  <c r="H54" i="19" a="1"/>
  <c r="H60" i="19" a="1"/>
  <c r="H68" i="19" a="1"/>
  <c r="H39" i="19" a="1"/>
  <c r="H96" i="19" a="1"/>
  <c r="H30" i="19" a="1"/>
  <c r="H80" i="19" a="1"/>
  <c r="H18" i="19" a="1"/>
  <c r="H63" i="19" a="1"/>
  <c r="H82" i="19" a="1"/>
  <c r="H42" i="19" a="1"/>
  <c r="H6" i="19" a="1"/>
  <c r="H72" i="19" a="1"/>
  <c r="H46" i="19" a="1"/>
  <c r="H99" i="19" a="1"/>
  <c r="H61" i="19" a="1"/>
  <c r="H71" i="19" a="1"/>
  <c r="H44" i="19" a="1"/>
  <c r="H19" i="19" a="1"/>
  <c r="H65" i="19" a="1"/>
  <c r="H52" i="19" a="1"/>
  <c r="H51" i="19" a="1"/>
  <c r="H32" i="19" a="1"/>
  <c r="H67" i="19" a="1"/>
  <c r="H25" i="19" a="1"/>
  <c r="H92" i="19" a="1"/>
  <c r="H38" i="19" a="1"/>
  <c r="H58" i="19" a="1"/>
  <c r="H73" i="19" a="1"/>
  <c r="H7" i="19" a="1"/>
  <c r="H87" i="19" a="1"/>
  <c r="H13" i="19" a="1"/>
  <c r="H91" i="19" a="1"/>
  <c r="H40" i="19" a="1"/>
  <c r="H33" i="19" a="1"/>
  <c r="H85" i="19" a="1"/>
  <c r="H56" i="19" a="1"/>
  <c r="H97" i="19" a="1"/>
  <c r="H22" i="19" a="1"/>
  <c r="H11" i="19" a="1"/>
  <c r="H31" i="19" a="1"/>
  <c r="H12" i="19" a="1"/>
  <c r="H15" i="19" a="1"/>
  <c r="H24" i="19" a="1"/>
  <c r="H43" i="19" a="1"/>
  <c r="H49" i="19" a="1"/>
  <c r="H35" i="19" a="1"/>
  <c r="H53" i="19" a="1"/>
  <c r="H17" i="19" a="1"/>
  <c r="H4" i="19" a="1"/>
  <c r="H27" i="19" a="1"/>
  <c r="H20" i="19" a="1"/>
  <c r="H9" i="19" a="1"/>
  <c r="A70" i="18" l="1"/>
  <c r="J131" i="18"/>
  <c r="A2" i="18"/>
  <c r="H9" i="19"/>
  <c r="H20" i="19"/>
  <c r="H27" i="19"/>
  <c r="H4" i="19"/>
  <c r="H17" i="19"/>
  <c r="H53" i="19"/>
  <c r="H35" i="19"/>
  <c r="H49" i="19"/>
  <c r="H43" i="19"/>
  <c r="H24" i="19"/>
  <c r="H15" i="19"/>
  <c r="H12" i="19"/>
  <c r="H31" i="19"/>
  <c r="H11" i="19"/>
  <c r="H22" i="19"/>
  <c r="H97" i="19"/>
  <c r="H56" i="19"/>
  <c r="H85" i="19"/>
  <c r="H33" i="19"/>
  <c r="H40" i="19"/>
  <c r="H91" i="19"/>
  <c r="H13" i="19"/>
  <c r="H87" i="19"/>
  <c r="H7" i="19"/>
  <c r="H73" i="19"/>
  <c r="H58" i="19"/>
  <c r="H38" i="19"/>
  <c r="H92" i="19"/>
  <c r="H25" i="19"/>
  <c r="H67" i="19"/>
  <c r="H32" i="19"/>
  <c r="H51" i="19"/>
  <c r="H52" i="19"/>
  <c r="H65" i="19"/>
  <c r="H19" i="19"/>
  <c r="H44" i="19"/>
  <c r="H71" i="19"/>
  <c r="H61" i="19"/>
  <c r="H99" i="19"/>
  <c r="H46" i="19"/>
  <c r="H72" i="19"/>
  <c r="H6" i="19"/>
  <c r="H42" i="19"/>
  <c r="H82" i="19"/>
  <c r="H63" i="19"/>
  <c r="H18" i="19"/>
  <c r="H80" i="19"/>
  <c r="H30" i="19"/>
  <c r="H96" i="19"/>
  <c r="H39" i="19"/>
  <c r="H68" i="19"/>
  <c r="H60" i="19"/>
  <c r="H54" i="19"/>
  <c r="H94" i="19"/>
  <c r="H84" i="19"/>
  <c r="H23" i="19"/>
  <c r="H95" i="19"/>
  <c r="H77" i="19"/>
  <c r="H64" i="19"/>
  <c r="H69" i="19"/>
  <c r="H28" i="19"/>
  <c r="H14" i="19"/>
  <c r="H62" i="19"/>
  <c r="H78" i="19"/>
  <c r="H70" i="19"/>
  <c r="H66" i="19"/>
  <c r="H86" i="19"/>
  <c r="H29" i="19"/>
  <c r="H89" i="19"/>
  <c r="H50" i="19"/>
  <c r="H81" i="19"/>
  <c r="H26" i="19"/>
  <c r="H93" i="19"/>
  <c r="H8" i="19"/>
  <c r="H37" i="19"/>
  <c r="H21" i="19"/>
  <c r="H41" i="19"/>
  <c r="H45" i="19"/>
  <c r="H10" i="19"/>
  <c r="H57" i="19"/>
  <c r="H98" i="19"/>
  <c r="H16" i="19"/>
  <c r="H59" i="19"/>
  <c r="H5" i="19"/>
  <c r="H90" i="19"/>
  <c r="H79" i="19"/>
  <c r="H55" i="19"/>
  <c r="H88" i="19"/>
  <c r="H76" i="19"/>
  <c r="H83" i="19"/>
  <c r="H74" i="19"/>
  <c r="H75" i="19"/>
  <c r="H34" i="19"/>
  <c r="H47" i="19"/>
  <c r="H36" i="19"/>
  <c r="H48" i="19"/>
  <c r="B12" i="14" a="1"/>
  <c r="B12" i="14" s="1"/>
  <c r="K20" i="18"/>
  <c r="A147" i="18"/>
  <c r="A138" i="18"/>
  <c r="A73" i="18"/>
  <c r="A103" i="18"/>
  <c r="L20" i="18"/>
  <c r="K12" i="18"/>
  <c r="L23" i="18"/>
  <c r="J12" i="18"/>
  <c r="K23" i="18"/>
  <c r="J20" i="18"/>
  <c r="A24" i="18"/>
  <c r="A64" i="18"/>
  <c r="A121" i="18"/>
  <c r="K105" i="18"/>
  <c r="B15" i="14"/>
  <c r="B19" i="14" s="1"/>
  <c r="B23" i="14" s="1"/>
  <c r="K19" i="18"/>
  <c r="K10" i="18"/>
  <c r="A137" i="18"/>
  <c r="A47" i="18"/>
  <c r="L11" i="18"/>
  <c r="A84" i="18"/>
  <c r="J15" i="18"/>
  <c r="A106" i="18"/>
  <c r="J83" i="18"/>
  <c r="L100" i="18"/>
  <c r="J19" i="18"/>
  <c r="A139" i="18"/>
  <c r="K15" i="18"/>
  <c r="A101" i="18"/>
  <c r="L91" i="18"/>
  <c r="J16" i="18"/>
  <c r="L15" i="18"/>
  <c r="J10" i="18"/>
  <c r="L21" i="18"/>
  <c r="K86" i="18"/>
  <c r="L51" i="18"/>
  <c r="L13" i="18"/>
  <c r="L6" i="18"/>
  <c r="A77" i="18"/>
  <c r="A69" i="18"/>
  <c r="A96" i="18"/>
  <c r="A61" i="18"/>
  <c r="K50" i="18"/>
  <c r="K13" i="18"/>
  <c r="J133" i="18"/>
  <c r="L19" i="18"/>
  <c r="L10" i="18"/>
  <c r="A35" i="18"/>
  <c r="A130" i="18"/>
  <c r="A72" i="18"/>
  <c r="L128" i="18"/>
  <c r="J49" i="18"/>
  <c r="L83" i="18"/>
  <c r="K94" i="18"/>
  <c r="K62" i="18"/>
  <c r="K133" i="18"/>
  <c r="J55" i="18"/>
  <c r="J27" i="18"/>
  <c r="K14" i="18"/>
  <c r="K11" i="18"/>
  <c r="K6" i="18"/>
  <c r="A68" i="18"/>
  <c r="A67" i="18"/>
  <c r="A142" i="18"/>
  <c r="A124" i="18"/>
  <c r="A90" i="18"/>
  <c r="A17" i="18"/>
  <c r="J13" i="18"/>
  <c r="K148" i="18"/>
  <c r="L14" i="18"/>
  <c r="J6" i="18"/>
  <c r="A58" i="18"/>
  <c r="A4" i="18"/>
  <c r="A129" i="18"/>
  <c r="K131" i="18"/>
  <c r="L44" i="18"/>
  <c r="K16" i="18"/>
  <c r="L16" i="18"/>
  <c r="L108" i="18"/>
  <c r="J120" i="18"/>
  <c r="J14" i="18"/>
  <c r="K108" i="18"/>
  <c r="J91" i="18"/>
  <c r="J11" i="18"/>
  <c r="L131" i="18"/>
  <c r="K128" i="18"/>
  <c r="J21" i="18"/>
  <c r="K22" i="18"/>
  <c r="J22" i="18"/>
  <c r="J125" i="18"/>
  <c r="J71" i="18"/>
  <c r="L117" i="18"/>
  <c r="L145" i="18"/>
  <c r="H12" i="14" a="1"/>
  <c r="H12" i="14" s="1"/>
  <c r="L81" i="18"/>
  <c r="J122" i="18"/>
  <c r="J63" i="18"/>
  <c r="A25" i="18"/>
  <c r="L75" i="18"/>
  <c r="K104" i="18"/>
  <c r="K75" i="18"/>
  <c r="K126" i="18"/>
  <c r="L111" i="18"/>
  <c r="J94" i="18"/>
  <c r="K29" i="18"/>
  <c r="L27" i="18"/>
  <c r="K27" i="18"/>
  <c r="L86" i="18"/>
  <c r="J107" i="18"/>
  <c r="L146" i="18"/>
  <c r="J33" i="18"/>
  <c r="J145" i="18"/>
  <c r="J98" i="18"/>
  <c r="L87" i="18"/>
  <c r="J86" i="18"/>
  <c r="J56" i="18"/>
  <c r="K81" i="18"/>
  <c r="J82" i="18"/>
  <c r="K107" i="18"/>
  <c r="K93" i="18"/>
  <c r="J92" i="18"/>
  <c r="L53" i="18"/>
  <c r="L39" i="18"/>
  <c r="L29" i="18"/>
  <c r="K54" i="18"/>
  <c r="K36" i="18"/>
  <c r="L136" i="18"/>
  <c r="L76" i="18"/>
  <c r="K41" i="18"/>
  <c r="J29" i="18"/>
  <c r="L36" i="18"/>
  <c r="A135" i="18"/>
  <c r="K71" i="18"/>
  <c r="L148" i="18"/>
  <c r="J151" i="18"/>
  <c r="K49" i="18"/>
  <c r="L54" i="18"/>
  <c r="K92" i="18"/>
  <c r="L105" i="18"/>
  <c r="L62" i="18"/>
  <c r="L144" i="18"/>
  <c r="L63" i="18"/>
  <c r="L55" i="18"/>
  <c r="K43" i="18"/>
  <c r="A74" i="18"/>
  <c r="J93" i="18"/>
  <c r="A9" i="18"/>
  <c r="J26" i="18"/>
  <c r="A8" i="18"/>
  <c r="K76" i="18"/>
  <c r="J45" i="18"/>
  <c r="K144" i="18"/>
  <c r="K85" i="18"/>
  <c r="J81" i="18"/>
  <c r="K60" i="18"/>
  <c r="K111" i="18"/>
  <c r="J143" i="18"/>
  <c r="J32" i="18"/>
  <c r="K33" i="18"/>
  <c r="J43" i="18"/>
  <c r="L43" i="18"/>
  <c r="J76" i="18"/>
  <c r="L150" i="18"/>
  <c r="J51" i="18"/>
  <c r="A51" i="18" s="1"/>
  <c r="L134" i="18"/>
  <c r="L94" i="18"/>
  <c r="K79" i="18"/>
  <c r="K122" i="18"/>
  <c r="K39" i="18"/>
  <c r="K100" i="18"/>
  <c r="K98" i="18"/>
  <c r="L118" i="18"/>
  <c r="K118" i="18"/>
  <c r="J104" i="18"/>
  <c r="K102" i="18"/>
  <c r="J39" i="18"/>
  <c r="J102" i="18"/>
  <c r="K97" i="18"/>
  <c r="J144" i="18"/>
  <c r="L89" i="18"/>
  <c r="K78" i="18"/>
  <c r="K56" i="18"/>
  <c r="J140" i="18"/>
  <c r="L122" i="18"/>
  <c r="L99" i="18"/>
  <c r="L104" i="18"/>
  <c r="J60" i="18"/>
  <c r="K89" i="18"/>
  <c r="K109" i="18"/>
  <c r="K44" i="18"/>
  <c r="L120" i="18"/>
  <c r="L109" i="18"/>
  <c r="J128" i="18"/>
  <c r="J113" i="18"/>
  <c r="J75" i="18"/>
  <c r="D12" i="14" a="1"/>
  <c r="D12" i="14" s="1"/>
  <c r="D15" i="14"/>
  <c r="D19" i="14" s="1"/>
  <c r="D23" i="14" s="1"/>
  <c r="D24" i="14" s="1" a="1"/>
  <c r="D24" i="14" s="1"/>
  <c r="L113" i="18"/>
  <c r="L3" i="18"/>
  <c r="K52" i="18"/>
  <c r="J132" i="18"/>
  <c r="K127" i="18"/>
  <c r="J126" i="18"/>
  <c r="L98" i="18"/>
  <c r="L126" i="18"/>
  <c r="L141" i="18"/>
  <c r="K134" i="18"/>
  <c r="L80" i="18"/>
  <c r="J79" i="18"/>
  <c r="J78" i="18"/>
  <c r="K66" i="18"/>
  <c r="J31" i="18"/>
  <c r="J30" i="18"/>
  <c r="J28" i="18"/>
  <c r="K45" i="18"/>
  <c r="L140" i="18"/>
  <c r="J41" i="18"/>
  <c r="L52" i="18"/>
  <c r="J149" i="18"/>
  <c r="K99" i="18"/>
  <c r="K95" i="18"/>
  <c r="J87" i="18"/>
  <c r="J85" i="18"/>
  <c r="L82" i="18"/>
  <c r="J80" i="18"/>
  <c r="J37" i="18"/>
  <c r="L34" i="18"/>
  <c r="K3" i="18"/>
  <c r="J89" i="18"/>
  <c r="K5" i="18"/>
  <c r="L114" i="18"/>
  <c r="L112" i="18"/>
  <c r="L42" i="18"/>
  <c r="K40" i="18"/>
  <c r="A88" i="18"/>
  <c r="K116" i="18"/>
  <c r="J116" i="18"/>
  <c r="L41" i="18"/>
  <c r="K125" i="18"/>
  <c r="L5" i="18"/>
  <c r="J114" i="18"/>
  <c r="K112" i="18"/>
  <c r="J42" i="18"/>
  <c r="L38" i="18"/>
  <c r="K143" i="18"/>
  <c r="K117" i="18"/>
  <c r="L95" i="18"/>
  <c r="L45" i="18"/>
  <c r="J38" i="18"/>
  <c r="J65" i="18"/>
  <c r="A18" i="18"/>
  <c r="A7" i="18"/>
  <c r="L119" i="18"/>
  <c r="K113" i="18"/>
  <c r="J59" i="18"/>
  <c r="L56" i="18"/>
  <c r="J141" i="18"/>
  <c r="L123" i="18"/>
  <c r="J112" i="18"/>
  <c r="L57" i="18"/>
  <c r="L92" i="18"/>
  <c r="L149" i="18"/>
  <c r="K132" i="18"/>
  <c r="K141" i="18"/>
  <c r="L79" i="18"/>
  <c r="K42" i="18"/>
  <c r="J127" i="18"/>
  <c r="L30" i="18"/>
  <c r="K146" i="18"/>
  <c r="J50" i="18"/>
  <c r="L110" i="18"/>
  <c r="K31" i="18"/>
  <c r="K149" i="18"/>
  <c r="K115" i="18"/>
  <c r="K28" i="18"/>
  <c r="L26" i="18"/>
  <c r="L65" i="18"/>
  <c r="K32" i="18"/>
  <c r="K150" i="18"/>
  <c r="K26" i="18"/>
  <c r="L127" i="18"/>
  <c r="K37" i="18"/>
  <c r="L85" i="18"/>
  <c r="L31" i="18"/>
  <c r="J99" i="18"/>
  <c r="L40" i="18"/>
  <c r="L28" i="18"/>
  <c r="K30" i="18"/>
  <c r="K82" i="18"/>
  <c r="J110" i="18"/>
  <c r="J95" i="18"/>
  <c r="K114" i="18"/>
  <c r="J40" i="18"/>
  <c r="L97" i="18"/>
  <c r="K151" i="18"/>
  <c r="L59" i="18"/>
  <c r="J66" i="18"/>
  <c r="K34" i="18"/>
  <c r="K57" i="18"/>
  <c r="F12" i="14" a="1"/>
  <c r="F12" i="14" s="1"/>
  <c r="L115" i="18"/>
  <c r="L66" i="18"/>
  <c r="L78" i="18"/>
  <c r="L37" i="18"/>
  <c r="K87" i="18"/>
  <c r="J53" i="18"/>
  <c r="L151" i="18"/>
  <c r="J97" i="18"/>
  <c r="L132" i="18"/>
  <c r="K53" i="18"/>
  <c r="J119" i="18"/>
  <c r="J136" i="18"/>
  <c r="J5" i="18"/>
  <c r="J117" i="18"/>
  <c r="K59" i="18"/>
  <c r="J134" i="18"/>
  <c r="J34" i="18"/>
  <c r="J123" i="18"/>
  <c r="K119" i="18"/>
  <c r="K80" i="18"/>
  <c r="C12" i="14" a="1"/>
  <c r="C12" i="14" s="1"/>
  <c r="E19" i="14"/>
  <c r="E16" i="14" a="1"/>
  <c r="E16" i="14" s="1"/>
  <c r="G15" i="14"/>
  <c r="G19" i="14" s="1"/>
  <c r="G20" i="14" s="1" a="1"/>
  <c r="G20" i="14" s="1"/>
  <c r="E7" i="14"/>
  <c r="E8" i="14" s="1" a="1"/>
  <c r="E8" i="14" s="1"/>
  <c r="E12" i="14" a="1"/>
  <c r="E12" i="14" s="1"/>
  <c r="C16" i="14" a="1"/>
  <c r="C16" i="14" s="1"/>
  <c r="C19" i="14"/>
  <c r="H15" i="14"/>
  <c r="C7" i="14"/>
  <c r="C8" i="14" s="1" a="1"/>
  <c r="C8" i="14" s="1"/>
  <c r="F15" i="14"/>
  <c r="G7" i="14"/>
  <c r="G8" i="14" s="1" a="1"/>
  <c r="G8" i="14" s="1"/>
  <c r="A11" i="18" l="1"/>
  <c r="A50" i="18"/>
  <c r="A83" i="18"/>
  <c r="A20" i="18"/>
  <c r="A133" i="18"/>
  <c r="A13" i="18"/>
  <c r="A12" i="18"/>
  <c r="A23" i="18"/>
  <c r="A44" i="18"/>
  <c r="A49" i="18"/>
  <c r="A120" i="18"/>
  <c r="A22" i="18"/>
  <c r="A15" i="18"/>
  <c r="A146" i="18"/>
  <c r="A93" i="18"/>
  <c r="A136" i="18"/>
  <c r="B16" i="14" a="1"/>
  <c r="B16" i="14" s="1"/>
  <c r="B20" i="14" a="1"/>
  <c r="B20" i="14" s="1"/>
  <c r="A100" i="18"/>
  <c r="A55" i="18"/>
  <c r="A143" i="18"/>
  <c r="A63" i="18"/>
  <c r="A82" i="18"/>
  <c r="A94" i="18"/>
  <c r="A105" i="18"/>
  <c r="A19" i="18"/>
  <c r="A107" i="18"/>
  <c r="A62" i="18"/>
  <c r="A10" i="18"/>
  <c r="A33" i="18"/>
  <c r="A91" i="18"/>
  <c r="A111" i="18"/>
  <c r="A21" i="18"/>
  <c r="A123" i="18"/>
  <c r="A118" i="18"/>
  <c r="A36" i="18"/>
  <c r="A29" i="18"/>
  <c r="A108" i="18"/>
  <c r="A34" i="18"/>
  <c r="A99" i="18"/>
  <c r="A81" i="18"/>
  <c r="A57" i="18"/>
  <c r="A128" i="18"/>
  <c r="A113" i="18"/>
  <c r="A125" i="18"/>
  <c r="A14" i="18"/>
  <c r="A54" i="18"/>
  <c r="A102" i="18"/>
  <c r="A3" i="18"/>
  <c r="A75" i="18"/>
  <c r="A145" i="18"/>
  <c r="A16" i="18"/>
  <c r="A148" i="18"/>
  <c r="A6" i="18"/>
  <c r="A86" i="18"/>
  <c r="A134" i="18"/>
  <c r="A114" i="18"/>
  <c r="A43" i="18"/>
  <c r="A71" i="18"/>
  <c r="A95" i="18"/>
  <c r="A98" i="18"/>
  <c r="A144" i="18"/>
  <c r="A56" i="18"/>
  <c r="A38" i="18"/>
  <c r="A116" i="18"/>
  <c r="A140" i="18"/>
  <c r="A150" i="18"/>
  <c r="A78" i="18"/>
  <c r="A60" i="18"/>
  <c r="A89" i="18"/>
  <c r="A65" i="18"/>
  <c r="D20" i="14" a="1"/>
  <c r="D20" i="14" s="1"/>
  <c r="A122" i="18"/>
  <c r="A27" i="18"/>
  <c r="D16" i="14" a="1"/>
  <c r="D16" i="14" s="1"/>
  <c r="A92" i="18"/>
  <c r="A104" i="18"/>
  <c r="A85" i="18"/>
  <c r="A112" i="18"/>
  <c r="A109" i="18"/>
  <c r="A79" i="18"/>
  <c r="A32" i="18"/>
  <c r="A30" i="18"/>
  <c r="A26" i="18"/>
  <c r="A97" i="18"/>
  <c r="A52" i="18"/>
  <c r="A28" i="18"/>
  <c r="A42" i="18"/>
  <c r="A45" i="18"/>
  <c r="A126" i="18"/>
  <c r="A76" i="18"/>
  <c r="A149" i="18"/>
  <c r="A39" i="18"/>
  <c r="A31" i="18"/>
  <c r="A117" i="18"/>
  <c r="A53" i="18"/>
  <c r="A37" i="18"/>
  <c r="A115" i="18"/>
  <c r="A41" i="18"/>
  <c r="A80" i="18"/>
  <c r="A5" i="18"/>
  <c r="A87" i="18"/>
  <c r="A66" i="18"/>
  <c r="A119" i="18"/>
  <c r="A151" i="18"/>
  <c r="A132" i="18"/>
  <c r="A40" i="18"/>
  <c r="A59" i="18"/>
  <c r="G23" i="14"/>
  <c r="G24" i="14" s="1" a="1"/>
  <c r="G24" i="14" s="1"/>
  <c r="A127" i="18"/>
  <c r="A110" i="18"/>
  <c r="A141" i="18"/>
  <c r="E20" i="14" a="1"/>
  <c r="E20" i="14" s="1"/>
  <c r="E23" i="14"/>
  <c r="E24" i="14" s="1" a="1"/>
  <c r="E24" i="14" s="1"/>
  <c r="G16" i="14" a="1"/>
  <c r="G16" i="14" s="1"/>
  <c r="C23" i="14"/>
  <c r="C20" i="14" a="1"/>
  <c r="C20" i="14" s="1"/>
  <c r="H19" i="14"/>
  <c r="H16" i="14" a="1"/>
  <c r="H16" i="14" s="1"/>
  <c r="F19" i="14"/>
  <c r="F16" i="14" a="1"/>
  <c r="F16" i="14" s="1"/>
  <c r="B27" i="14"/>
  <c r="B28" i="14" s="1" a="1"/>
  <c r="B28" i="14" s="1"/>
  <c r="B24" i="14" a="1"/>
  <c r="B24" i="14" s="1"/>
  <c r="F20" i="14" l="1" a="1"/>
  <c r="F20" i="14" s="1"/>
  <c r="F23" i="14"/>
  <c r="F24" i="14" s="1" a="1"/>
  <c r="F24" i="14" s="1"/>
  <c r="H20" i="14" a="1"/>
  <c r="H20" i="14" s="1"/>
  <c r="H23" i="14"/>
  <c r="H24" i="14" s="1" a="1"/>
  <c r="H24" i="14" s="1"/>
  <c r="C24" i="14" a="1"/>
  <c r="C24" i="14" s="1"/>
  <c r="C27" i="14"/>
  <c r="C28" i="14" s="1" a="1"/>
  <c r="C28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ngredientes 💿 ff64122c67c84d3e9c44ed9b6ccea696" description="Connection to the 'Ingredientes 💿 ff64122c67c84d3e9c44ed9b6ccea696' query in the workbook." type="5" refreshedVersion="0" background="1" saveData="1">
    <dbPr connection="Provider=Microsoft.Mashup.OleDb.1;Data Source=$Workbook$;Location=&quot;Ingredientes 💿 ff64122c67c84d3e9c44ed9b6ccea696&quot;;Extended Properties=&quot;&quot;" command="SELECT * FROM [Ingredientes 💿 ff64122c67c84d3e9c44ed9b6ccea696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<sst xmlns="http://schemas.openxmlformats.org/spreadsheetml/2006/main" count="3408" uniqueCount="416">
  <si>
    <t xml:space="preserve">Gerar lista de compras para as refeições entre os dias 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</si>
  <si>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</si>
  <si>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</si>
  <si>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</si>
  <si>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</si>
  <si>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</si>
  <si>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</si>
  <si>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</si>
  <si>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e</t>
  </si>
  <si>
    <t>Experimentar</t>
  </si>
  <si>
    <t>Carne guisada desfiada com massa (Cookido)</t>
  </si>
  <si>
    <t>Arroz de vitela com legumes Ver.BimbiJan17</t>
  </si>
  <si>
    <t>Coq au vin Ver Bimbi Mar17</t>
  </si>
  <si>
    <t>Porco</t>
  </si>
  <si>
    <t>Frango</t>
  </si>
  <si>
    <t>Atum</t>
  </si>
  <si>
    <t>Queijo</t>
  </si>
  <si>
    <t>Picado</t>
  </si>
  <si>
    <t>Peito frango</t>
  </si>
  <si>
    <t>Bacalhau</t>
  </si>
  <si>
    <t>Ovos</t>
  </si>
  <si>
    <t>Vaca</t>
  </si>
  <si>
    <t>Peru</t>
  </si>
  <si>
    <t>Pescada</t>
  </si>
  <si>
    <t>Coelho</t>
  </si>
  <si>
    <t>Bifes</t>
  </si>
  <si>
    <t>Peixe</t>
  </si>
  <si>
    <t>Salsichas</t>
  </si>
  <si>
    <t>Salmão</t>
  </si>
  <si>
    <t>Verificar existências</t>
  </si>
  <si>
    <t>Comp.</t>
  </si>
  <si>
    <t>Nec.</t>
  </si>
  <si>
    <t>Produto</t>
  </si>
  <si>
    <t>Arrumação</t>
  </si>
  <si>
    <t>Ver.</t>
  </si>
  <si>
    <t>Bananas</t>
  </si>
  <si>
    <t>1-Outros</t>
  </si>
  <si>
    <t>Batatas fritar</t>
  </si>
  <si>
    <t>Desodorizante</t>
  </si>
  <si>
    <t>Guardanapos</t>
  </si>
  <si>
    <t>Papel higiénico</t>
  </si>
  <si>
    <t>Pedras para os gatos</t>
  </si>
  <si>
    <t>Sacos de lixo</t>
  </si>
  <si>
    <t>Bolachas</t>
  </si>
  <si>
    <t>2-Gavetão ilha</t>
  </si>
  <si>
    <t>Milho</t>
  </si>
  <si>
    <t>Pot Carbonara</t>
  </si>
  <si>
    <t>Sumo de laranja pequeno</t>
  </si>
  <si>
    <t>Sumo de maçã pequeno</t>
  </si>
  <si>
    <t>Açucar amarelo</t>
  </si>
  <si>
    <t>3-Mercearia</t>
  </si>
  <si>
    <t>Cerelac</t>
  </si>
  <si>
    <t>Farinha Maisena</t>
  </si>
  <si>
    <t>Lata de salsichas</t>
  </si>
  <si>
    <t>Natas</t>
  </si>
  <si>
    <t>Pau de canela</t>
  </si>
  <si>
    <t>Polpa de tomate</t>
  </si>
  <si>
    <t>Tomate pelado</t>
  </si>
  <si>
    <t>Azeite</t>
  </si>
  <si>
    <t>4-Dispensa</t>
  </si>
  <si>
    <t>Azeitonas</t>
  </si>
  <si>
    <t>Caldo de carne</t>
  </si>
  <si>
    <t>Louro</t>
  </si>
  <si>
    <t>Pickles</t>
  </si>
  <si>
    <t>Rolo de cozinha</t>
  </si>
  <si>
    <t>Sumo de laranja grande</t>
  </si>
  <si>
    <t>Vinho branco</t>
  </si>
  <si>
    <t>Vinho tinto</t>
  </si>
  <si>
    <t>Alho</t>
  </si>
  <si>
    <t>5-Gavetão fogão</t>
  </si>
  <si>
    <t>Arroz agulha</t>
  </si>
  <si>
    <t>Arroz basmati</t>
  </si>
  <si>
    <t>Cebolas</t>
  </si>
  <si>
    <t>Cuzcuz</t>
  </si>
  <si>
    <t>Esparguete</t>
  </si>
  <si>
    <t>Frasco de feijão branco</t>
  </si>
  <si>
    <t>Frasco de feijão vermelho</t>
  </si>
  <si>
    <t>Frasco de grão</t>
  </si>
  <si>
    <t>Lata de atum</t>
  </si>
  <si>
    <t>Lata de feijão vermelho</t>
  </si>
  <si>
    <t>Lata de grão</t>
  </si>
  <si>
    <t>Massa cotovelos</t>
  </si>
  <si>
    <t>Sal</t>
  </si>
  <si>
    <t>Cravo de cabecinha</t>
  </si>
  <si>
    <t>6-Gaveta especiarias</t>
  </si>
  <si>
    <t>Molho de soja</t>
  </si>
  <si>
    <t>Bacon em pedaços</t>
  </si>
  <si>
    <t>7-Frigorifico</t>
  </si>
  <si>
    <t>Coentros</t>
  </si>
  <si>
    <t>Cogumelos frescos</t>
  </si>
  <si>
    <t>Fiambre fatiado</t>
  </si>
  <si>
    <t>Iogurte grego</t>
  </si>
  <si>
    <t>Iogurte líquido</t>
  </si>
  <si>
    <t>Leite do dia</t>
  </si>
  <si>
    <t>Limão</t>
  </si>
  <si>
    <t>Manteiga</t>
  </si>
  <si>
    <t>Margarina</t>
  </si>
  <si>
    <t>Massa de pimentão</t>
  </si>
  <si>
    <t>Pimento vermelho</t>
  </si>
  <si>
    <t>Queijo fatiado</t>
  </si>
  <si>
    <t>Alho congelado</t>
  </si>
  <si>
    <t>8-Congelador</t>
  </si>
  <si>
    <t>Carne picada</t>
  </si>
  <si>
    <t>Cebola picada congelada</t>
  </si>
  <si>
    <t>Curgete congelada</t>
  </si>
  <si>
    <t>Espinafres congelados</t>
  </si>
  <si>
    <t>Feijão verde congelado</t>
  </si>
  <si>
    <t>Frango em pedaços</t>
  </si>
  <si>
    <t>Medalhões de pescada</t>
  </si>
  <si>
    <t>Miolo de camarão</t>
  </si>
  <si>
    <t>Puré de batata</t>
  </si>
  <si>
    <t>Rojões</t>
  </si>
  <si>
    <t>Vegetais para a sopa</t>
  </si>
  <si>
    <t>Lista de compras</t>
  </si>
  <si>
    <t>Categoria</t>
  </si>
  <si>
    <t>Link</t>
  </si>
  <si>
    <t>Charcutaria</t>
  </si>
  <si>
    <t>Congelados</t>
  </si>
  <si>
    <t>Frutas e legumes</t>
  </si>
  <si>
    <t>500g</t>
  </si>
  <si>
    <t>Batatas lavadas e embaladas</t>
  </si>
  <si>
    <t>Espinafres</t>
  </si>
  <si>
    <t>Higiene&amp;Beleza</t>
  </si>
  <si>
    <t>Laticínios</t>
  </si>
  <si>
    <t>Limpeza do lar</t>
  </si>
  <si>
    <t>Mercearia doce</t>
  </si>
  <si>
    <t>Mercearia salgada</t>
  </si>
  <si>
    <t>Mostarda</t>
  </si>
  <si>
    <t>Pescada fresca</t>
  </si>
  <si>
    <t>Peixaria</t>
  </si>
  <si>
    <t>300g</t>
  </si>
  <si>
    <t>Salmão aos cubos</t>
  </si>
  <si>
    <t>Sumos, cervejas e água</t>
  </si>
  <si>
    <t>800g</t>
  </si>
  <si>
    <t>Escalopes de vitela</t>
  </si>
  <si>
    <t>Talho</t>
  </si>
  <si>
    <t>Adicionar semanalmente à lista</t>
  </si>
  <si>
    <t>As quantidades devem se consideradas à embalagem</t>
  </si>
  <si>
    <t>Q</t>
  </si>
  <si>
    <t>Arrumo</t>
  </si>
  <si>
    <t>Somar a quantidade à lista das receitas</t>
  </si>
  <si>
    <t>Alface</t>
  </si>
  <si>
    <t>X</t>
  </si>
  <si>
    <t>Cogumelos congelados</t>
  </si>
  <si>
    <t>Fiambre aos cubos</t>
  </si>
  <si>
    <t>Nestum</t>
  </si>
  <si>
    <t>Pepino</t>
  </si>
  <si>
    <t>Tomates</t>
  </si>
  <si>
    <t>Última data</t>
  </si>
  <si>
    <t>Próxima data</t>
  </si>
  <si>
    <t>Real</t>
  </si>
  <si>
    <t>Order</t>
  </si>
  <si>
    <t>Recorrencia</t>
  </si>
  <si>
    <t>Refeição</t>
  </si>
  <si>
    <t>Proteina</t>
  </si>
  <si>
    <t>Acompanha</t>
  </si>
  <si>
    <t>Outros</t>
  </si>
  <si>
    <t>Repete</t>
  </si>
  <si>
    <t>Proteinas</t>
  </si>
  <si>
    <t>Acompanhamentos</t>
  </si>
  <si>
    <t>Diogo</t>
  </si>
  <si>
    <t>Bacalhau tipo Zé do Pipo</t>
  </si>
  <si>
    <t>Frango ao Lagar</t>
  </si>
  <si>
    <t>Puré</t>
  </si>
  <si>
    <t>Arroz</t>
  </si>
  <si>
    <t>Massa com atum gratinada</t>
  </si>
  <si>
    <t>Carne de porco à portuguesa</t>
  </si>
  <si>
    <t>Batata</t>
  </si>
  <si>
    <t>Massa</t>
  </si>
  <si>
    <t>Macarrão de carne</t>
  </si>
  <si>
    <t>Massinha de Peixe</t>
  </si>
  <si>
    <t>Arroz de atum</t>
  </si>
  <si>
    <t>Chili</t>
  </si>
  <si>
    <t>Frango à passarinho</t>
  </si>
  <si>
    <t>Bifanas com natas</t>
  </si>
  <si>
    <t>Frango frito na actifry com fetucine</t>
  </si>
  <si>
    <t>Peito de frango à la pizza</t>
  </si>
  <si>
    <t>Tomate</t>
  </si>
  <si>
    <t>Frango rápido</t>
  </si>
  <si>
    <t>Salmão no forno com ervinhas da provença</t>
  </si>
  <si>
    <t>Arroz de bacalhau</t>
  </si>
  <si>
    <t>Bacalhau com legumes (revista robot de cozinha)</t>
  </si>
  <si>
    <t>Frango de fricassé</t>
  </si>
  <si>
    <t>Hamburguers com natas</t>
  </si>
  <si>
    <t>Rancho</t>
  </si>
  <si>
    <t>Peixe assado no forno</t>
  </si>
  <si>
    <t>Carne guisada com massa</t>
  </si>
  <si>
    <t>Bolonhesa</t>
  </si>
  <si>
    <t>Rolo de carne do Lidl</t>
  </si>
  <si>
    <t>Perca do nilo no forno</t>
  </si>
  <si>
    <t>Jardineira</t>
  </si>
  <si>
    <t>Carne de porco com cogumelos na actifry</t>
  </si>
  <si>
    <t>Bifes de perú com limão</t>
  </si>
  <si>
    <t>Mac and Cheese</t>
  </si>
  <si>
    <t>Douradinhos</t>
  </si>
  <si>
    <t>Peixe cozido</t>
  </si>
  <si>
    <t>Frango com cerveja</t>
  </si>
  <si>
    <t>Coelho da Bimby</t>
  </si>
  <si>
    <t>Escalopes ao vinho Madeira</t>
  </si>
  <si>
    <t>Feijão com arroz</t>
  </si>
  <si>
    <t>Frango Toscânia</t>
  </si>
  <si>
    <t>Empadão de carne</t>
  </si>
  <si>
    <t>Carne de vaca guisada</t>
  </si>
  <si>
    <t>Salsichas com cove lombarda</t>
  </si>
  <si>
    <t>Bacalhau com grão</t>
  </si>
  <si>
    <t>Grão</t>
  </si>
  <si>
    <t>Bifes de peru com cogumelos</t>
  </si>
  <si>
    <t>Ervilhas com ovos</t>
  </si>
  <si>
    <t>Lombos de pescada com molho de mostarda</t>
  </si>
  <si>
    <t>Frango de panela</t>
  </si>
  <si>
    <t>Frango com cebolinhas</t>
  </si>
  <si>
    <t>Frango com massa</t>
  </si>
  <si>
    <t>Almondegas</t>
  </si>
  <si>
    <t>Gratinado de legumes e salmão</t>
  </si>
  <si>
    <t>Filetes no forno com limão</t>
  </si>
  <si>
    <t>A comprar</t>
  </si>
  <si>
    <t>Mantimento</t>
  </si>
  <si>
    <t>Categoria - OnLine</t>
  </si>
  <si>
    <t>Categoria - Siga</t>
  </si>
  <si>
    <t>Loja</t>
  </si>
  <si>
    <t>Vendido à</t>
  </si>
  <si>
    <t>Quantidade</t>
  </si>
  <si>
    <t>Unidade</t>
  </si>
  <si>
    <t>Manter stock</t>
  </si>
  <si>
    <t>Adicionar stock à lista das receitas</t>
  </si>
  <si>
    <t>Por embalagem</t>
  </si>
  <si>
    <t>Por unidade</t>
  </si>
  <si>
    <t>Por medida</t>
  </si>
  <si>
    <t>Embalagem</t>
  </si>
  <si>
    <t>Camprado à</t>
  </si>
  <si>
    <t>Categorias</t>
  </si>
  <si>
    <t>Mercearia - Açúcar e Sobremesas - Açúcar e Adoçante</t>
  </si>
  <si>
    <t>Bens essenciais</t>
  </si>
  <si>
    <t>Supermercado</t>
  </si>
  <si>
    <t>EM</t>
  </si>
  <si>
    <t>g</t>
  </si>
  <si>
    <t>U</t>
  </si>
  <si>
    <t>un</t>
  </si>
  <si>
    <t>Alecrim</t>
  </si>
  <si>
    <t>Mercearia - Molhos, Temperos e Sal - Especiarias e Ervas Aromáticas</t>
  </si>
  <si>
    <t>M</t>
  </si>
  <si>
    <t>Cultura, animais &amp; DIY</t>
  </si>
  <si>
    <t>Frutas e Legumes - Legumes - Alface, Tomate, Pepino e Pimento</t>
  </si>
  <si>
    <t>EU</t>
  </si>
  <si>
    <t>ml</t>
  </si>
  <si>
    <t>Frutas e Legumes - Legumes - Cebola, Alho e Nabo</t>
  </si>
  <si>
    <t>Congelados - Frutas e Legumes - Legumes Congelados</t>
  </si>
  <si>
    <t>Pequeno almoço</t>
  </si>
  <si>
    <t>Alho em pó</t>
  </si>
  <si>
    <t>Alho francês</t>
  </si>
  <si>
    <t>Peixaria e Talho - Talho - Pronto a Cozinhar</t>
  </si>
  <si>
    <t>Mercearia - Arroz, Massa e Farinha - Arroz</t>
  </si>
  <si>
    <t>Padaria</t>
  </si>
  <si>
    <t>Arroz carolino</t>
  </si>
  <si>
    <t/>
  </si>
  <si>
    <t>Mercearia - Azeite, Óleo e Vinagre - Azeite</t>
  </si>
  <si>
    <t>Frutas e Legumes - Tremoços e Azeitonas</t>
  </si>
  <si>
    <t>Bacalhau desfiado</t>
  </si>
  <si>
    <t>Peixaria e Talho - Peixaria - Bacalhau</t>
  </si>
  <si>
    <t>Charcutaria e Queijos - Charcutaria - Bacon e Fumados</t>
  </si>
  <si>
    <t>Vinho e espirituosas</t>
  </si>
  <si>
    <t>Frutas e Legumes - Frutas - Banana, Maçã e Pera</t>
  </si>
  <si>
    <t>Batata palha</t>
  </si>
  <si>
    <t>Mercearia - Snacks e Batatas Fritas - Batatas Fritas</t>
  </si>
  <si>
    <t>Frutas e Legumes - Legumes - Batata, Batata Doce e Mandioca</t>
  </si>
  <si>
    <t>Bifanas</t>
  </si>
  <si>
    <t>Peixaria e Talho - Talho - Porco</t>
  </si>
  <si>
    <t>Bifes de peru</t>
  </si>
  <si>
    <t>Peixaria e Talho - Talho - Frango e Peru</t>
  </si>
  <si>
    <t>Bifes de peru em strogonoff</t>
  </si>
  <si>
    <t>Mercearia - Bolachas, Biscoitos e Tostas</t>
  </si>
  <si>
    <t>Caldo de bife</t>
  </si>
  <si>
    <t>Mercearia - Molhos, Temperos e Sal - Caldos</t>
  </si>
  <si>
    <t>Caldo de galinha</t>
  </si>
  <si>
    <t>Carne de vaca para guisar</t>
  </si>
  <si>
    <t>Peixaria e Talho - Talho - Novilho, Vitela e Vitelão</t>
  </si>
  <si>
    <t>Cebolinhas</t>
  </si>
  <si>
    <t>Cebolinho</t>
  </si>
  <si>
    <t>Cenouras</t>
  </si>
  <si>
    <t>Frutas e Legumes - Legumes - Cenoura, Abóbora e Beterraba</t>
  </si>
  <si>
    <t>Mercearia - Alimentação Infantil - Papas Infantis</t>
  </si>
  <si>
    <t>Cerveja</t>
  </si>
  <si>
    <t>Bebidas e Garrafeira - Cervejas e Sidras - Cerveja Tradicional</t>
  </si>
  <si>
    <t>Chouriço</t>
  </si>
  <si>
    <t>Charcutaria e Queijos - Charcutaria - Chouriço e Morcela</t>
  </si>
  <si>
    <t>Peixaria e Talho - Talho - Pato e Coelho</t>
  </si>
  <si>
    <t>Frutas e Legumes - Ervas Aromáticas e Especiarias</t>
  </si>
  <si>
    <t>Frutas e Legumes - Legumes - Cogumelos, Espargos e Exóticos</t>
  </si>
  <si>
    <t>Colorau</t>
  </si>
  <si>
    <t>Couve lombarda</t>
  </si>
  <si>
    <t>Frutas e Legumes - Legumes - Couves, Brócolos e Espinafres</t>
  </si>
  <si>
    <t>Couve portuguesa</t>
  </si>
  <si>
    <t>Mercearia - Arroz, Massa e Farinha - Couscous, Quinoa, Bulgur e Outros</t>
  </si>
  <si>
    <t>Beleza e Higiene - Homem - Desodorizantes</t>
  </si>
  <si>
    <t>Entrecosto inteiro</t>
  </si>
  <si>
    <t>Entrecosto pedaços</t>
  </si>
  <si>
    <t>Ervas da provença</t>
  </si>
  <si>
    <t>Ervilhas</t>
  </si>
  <si>
    <t>Ervinhas italianas</t>
  </si>
  <si>
    <t>Mercearia - Arroz, Massa e Farinha - Massa</t>
  </si>
  <si>
    <t>Espinafres baby</t>
  </si>
  <si>
    <t>Farinha de trigo 55</t>
  </si>
  <si>
    <t>Mercearia - Arroz, Massa e Farinha - Farinha e Pão Ralado</t>
  </si>
  <si>
    <t>Congelados - Frutas e Legumes - Misturas de Legumes Congelados</t>
  </si>
  <si>
    <t>Fettuccine</t>
  </si>
  <si>
    <t>Charcutaria e Queijos - Charcutaria - Fiambre, Mortadela e Salame</t>
  </si>
  <si>
    <t>Filetes de pescada</t>
  </si>
  <si>
    <t>Peixaria e Talho - Peixaria - Filetes, Lombos e Postas</t>
  </si>
  <si>
    <t>Mercearia - Conservas - Feijão e Grão de Bico</t>
  </si>
  <si>
    <t>Limpeza - Guardanapos, Rolos e Películas - Guardanapos</t>
  </si>
  <si>
    <t>Hamburguers</t>
  </si>
  <si>
    <t>Laticínios e Ovos - Iogurtes - Iogurtes Gregos</t>
  </si>
  <si>
    <t>Laticínios e Ovos - Iogurtes - Iogurtes Líquidos</t>
  </si>
  <si>
    <t>Mercearia - Conservas - Atum</t>
  </si>
  <si>
    <t>Mercearia - Conservas - Salsichas</t>
  </si>
  <si>
    <t>Laticínios e Ovos - Leite - Leite Meio Gordo</t>
  </si>
  <si>
    <t>Frutas e Legumes - Frutas - Laranja, Clementina e Limão</t>
  </si>
  <si>
    <t>Macarrão grosso</t>
  </si>
  <si>
    <t>Macarronete</t>
  </si>
  <si>
    <t>Mangericão</t>
  </si>
  <si>
    <t>Laticínios e Ovos - Manteigas e Cremes para Barrar - Manteigas</t>
  </si>
  <si>
    <t>Laticínios e Ovos - Manteigas e Cremes para Barrar - Cremes para Barrar</t>
  </si>
  <si>
    <t>Mercearia - Molhos, Temperos e Sal - Molhos</t>
  </si>
  <si>
    <t>Massa espiral grande</t>
  </si>
  <si>
    <t>Mercearia - Conservas - Cogumelos, Milho, Ervilhas</t>
  </si>
  <si>
    <t>Peixaria e Talho - Peixaria - Camarão</t>
  </si>
  <si>
    <t>Molho inglês</t>
  </si>
  <si>
    <t>Mercearia - Molhos, Temperos e Sal - Maionese, Ketchup e Mostarda</t>
  </si>
  <si>
    <t>Laticínios e Ovos - Natas e Bechamel - Natas para Bater e Chantilly</t>
  </si>
  <si>
    <t>Noz moscada</t>
  </si>
  <si>
    <t>Orégãos</t>
  </si>
  <si>
    <t>Laticínios e Ovos - Ovos</t>
  </si>
  <si>
    <t>Pão ralado</t>
  </si>
  <si>
    <t>Beleza e Higiene - Papel Higiénico e Lenços - Papel Higiénico 3, 4 e 5 Folhas</t>
  </si>
  <si>
    <t>Animais - Gato - Absorventes</t>
  </si>
  <si>
    <t>Peitos de frango</t>
  </si>
  <si>
    <t>Peixe para assar</t>
  </si>
  <si>
    <t>Peixaria e Talho - Peixaria - Peixe Fresco</t>
  </si>
  <si>
    <t>Pepperoni em fatias</t>
  </si>
  <si>
    <t>Charcutaria e Queijos - Charcutaria - Salpicão, Paio e Fuet</t>
  </si>
  <si>
    <t>Perca do nilo</t>
  </si>
  <si>
    <t>Pimenta branca</t>
  </si>
  <si>
    <t>Pimenta moída</t>
  </si>
  <si>
    <t>Pimenta preta em grão</t>
  </si>
  <si>
    <t>Pimenta preta em pó</t>
  </si>
  <si>
    <t>Pimenta rosa</t>
  </si>
  <si>
    <t>Pimento verde</t>
  </si>
  <si>
    <t>Piripiri</t>
  </si>
  <si>
    <t>Mercearia - Conservas - Tomate Polpa, Pelado e Seco</t>
  </si>
  <si>
    <t>Postas de salmão</t>
  </si>
  <si>
    <t>Mercearia - Sopas e Refeições - Refeições</t>
  </si>
  <si>
    <t>Congelados - Batatas Congeladas</t>
  </si>
  <si>
    <t>Queijo cheddar</t>
  </si>
  <si>
    <t>Charcutaria e Queijos - Queijos - Queijos do Mundo</t>
  </si>
  <si>
    <t>Charcutaria e Queijos - Queijos - Fatiado e Bolas</t>
  </si>
  <si>
    <t>Queijo gruyere</t>
  </si>
  <si>
    <t>Queijo mozarela ripado</t>
  </si>
  <si>
    <t>Charcutaria e Queijos - Queijos - Ralado</t>
  </si>
  <si>
    <t>Queijo parmesão</t>
  </si>
  <si>
    <t>Limpeza - Guardanapos, Rolos e Películas - Rolos de Cozinha</t>
  </si>
  <si>
    <t>Limpeza - Sacos e Baldes do Lixo - Sacos do Lixo</t>
  </si>
  <si>
    <t>Mercearia - Molhos, Temperos e Sal - Sal</t>
  </si>
  <si>
    <t>Sal grosso</t>
  </si>
  <si>
    <t>Salsa</t>
  </si>
  <si>
    <t>Salsichas frescas</t>
  </si>
  <si>
    <t>Sopa de cebola</t>
  </si>
  <si>
    <t>Mercearia - Sopas e Refeições - Sopas</t>
  </si>
  <si>
    <t>Bebidas e Garrafeira - Sumos e Refrigerantes - Néctares</t>
  </si>
  <si>
    <t>Bebidas e Garrafeira - Sumos e Refrigerantes - Sumos de Fruta</t>
  </si>
  <si>
    <t>Tabasco verde</t>
  </si>
  <si>
    <t>Tomate pelado (lata pq)</t>
  </si>
  <si>
    <t>Tomate seco</t>
  </si>
  <si>
    <t>Tomilho</t>
  </si>
  <si>
    <t>Vegetais congelados p Jardineira</t>
  </si>
  <si>
    <t>Vinagre</t>
  </si>
  <si>
    <t>Mercearia - Azeite, Óleo e Vinagre - Vinagre</t>
  </si>
  <si>
    <t>Bebidas e Garrafeira - Vinhos - Vinho Branco</t>
  </si>
  <si>
    <t>Vinho madeira</t>
  </si>
  <si>
    <t>Bebidas e Garrafeira - Vinhos - Vinho Moscatel, da Madeira e Outros</t>
  </si>
  <si>
    <t>Bebidas e Garrafeira - Vinhos - Vinho Tinto</t>
  </si>
  <si>
    <t>Receita</t>
  </si>
  <si>
    <t>Medida</t>
  </si>
  <si>
    <t>Data</t>
  </si>
  <si>
    <t>qb</t>
  </si>
  <si>
    <t>emb</t>
  </si>
  <si>
    <t>Bacalhau com natas e batata cozida</t>
  </si>
  <si>
    <t>Empadão de peixe</t>
  </si>
  <si>
    <t>Entrecosto no forno</t>
  </si>
  <si>
    <t>Macarrão de atum</t>
  </si>
  <si>
    <t>Molho de tomate</t>
  </si>
  <si>
    <t>Oregãos</t>
  </si>
  <si>
    <t>Pimenta</t>
  </si>
  <si>
    <t>Noz-moscada</t>
  </si>
  <si>
    <t>#F5B7A7</t>
  </si>
  <si>
    <t>#F0937B</t>
  </si>
  <si>
    <t>#B13414</t>
  </si>
  <si>
    <t>#76230E</t>
  </si>
  <si>
    <t>#FFCA08</t>
  </si>
  <si>
    <t>#C69900</t>
  </si>
  <si>
    <t>#9F6A28</t>
  </si>
  <si>
    <t>#00B050</t>
  </si>
  <si>
    <t>#92D050</t>
  </si>
  <si>
    <t>#00B0F0</t>
  </si>
  <si>
    <t>#0070C0</t>
  </si>
  <si>
    <t>#7030A0</t>
  </si>
  <si>
    <t>Sheet para retirar ou adicionar receitas à lista regular</t>
  </si>
  <si>
    <t>Compras</t>
  </si>
  <si>
    <t>OnLine</t>
  </si>
  <si>
    <t>#fruta</t>
  </si>
  <si>
    <t>#legumes</t>
  </si>
  <si>
    <t>#higiene</t>
  </si>
  <si>
    <t>#drogaria</t>
  </si>
  <si>
    <t>#animais</t>
  </si>
  <si>
    <t>Grupo</t>
  </si>
  <si>
    <t>Carne</t>
  </si>
  <si>
    <t>50g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</si>
</sst>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[$-816]d\-mmm\-yyyy;@"/>
  </numFmts>
  <fonts count="79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8"/>
      <name val="Arial"/>
      <family val="2"/>
    </font>
    <font>
      <b/>
      <sz val="11"/>
      <color theme="0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1"/>
      <color theme="3"/>
      <name val="Arial"/>
      <family val="2"/>
      <scheme val="major"/>
    </font>
    <font>
      <sz val="11"/>
      <name val="Arial"/>
      <family val="2"/>
      <scheme val="minor"/>
    </font>
    <font>
      <sz val="11"/>
      <color theme="1"/>
      <name val="Arial"/>
      <family val="2"/>
      <scheme val="major"/>
    </font>
    <font>
      <sz val="11"/>
      <color indexed="63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sz val="11"/>
      <color theme="3" tint="-0.24994659260841701"/>
      <name val="Arial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name val="Arial"/>
      <family val="2"/>
      <scheme val="major"/>
    </font>
    <font>
      <b/>
      <sz val="10"/>
      <name val="Arial"/>
      <family val="2"/>
      <scheme val="major"/>
    </font>
    <font>
      <sz val="10"/>
      <name val="Arial"/>
      <family val="2"/>
      <scheme val="maj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sz val="14"/>
      <color rgb="FF0070C0"/>
      <name val="Arial"/>
      <family val="2"/>
      <scheme val="major"/>
    </font>
    <font>
      <sz val="9"/>
      <name val="Arial"/>
      <family val="2"/>
      <scheme val="major"/>
    </font>
    <font>
      <sz val="14"/>
      <color theme="4" tint="-0.249977111117893"/>
      <name val="Arial"/>
      <family val="2"/>
      <scheme val="major"/>
    </font>
    <font>
      <sz val="36"/>
      <color theme="4" tint="-0.24994659260841701"/>
      <name val="Arial"/>
      <family val="2"/>
      <scheme val="major"/>
    </font>
    <font>
      <sz val="16"/>
      <color theme="1"/>
      <name val="Arial"/>
      <family val="2"/>
      <scheme val="major"/>
    </font>
    <font>
      <sz val="11"/>
      <color rgb="FF0070C0"/>
      <name val="Arial"/>
      <family val="2"/>
      <scheme val="minor"/>
    </font>
    <font>
      <sz val="10"/>
      <color theme="0"/>
      <name val="Arial"/>
      <family val="2"/>
      <scheme val="major"/>
    </font>
    <font>
      <b/>
      <sz val="11"/>
      <color theme="7"/>
      <name val="Arial"/>
      <family val="2"/>
      <scheme val="major"/>
    </font>
    <font>
      <sz val="10"/>
      <color theme="7"/>
      <name val="Arial"/>
      <family val="2"/>
      <scheme val="major"/>
    </font>
    <font>
      <sz val="11"/>
      <color theme="8" tint="0.39997558519241921"/>
      <name val="Arial"/>
      <family val="2"/>
      <scheme val="minor"/>
    </font>
    <font>
      <sz val="11"/>
      <color theme="8" tint="-0.249977111117893"/>
      <name val="Arial"/>
      <family val="2"/>
      <scheme val="minor"/>
    </font>
    <font>
      <sz val="11"/>
      <color theme="8" tint="-0.499984740745262"/>
      <name val="Arial"/>
      <family val="2"/>
      <scheme val="minor"/>
    </font>
    <font>
      <sz val="11"/>
      <color theme="8" tint="0.59999389629810485"/>
      <name val="Arial"/>
      <family val="2"/>
      <scheme val="minor"/>
    </font>
    <font>
      <sz val="11"/>
      <color theme="4" tint="-0.249977111117893"/>
      <name val="Arial"/>
      <family val="2"/>
      <scheme val="minor"/>
    </font>
    <font>
      <sz val="11"/>
      <color rgb="FF00B050"/>
      <name val="Arial"/>
      <family val="2"/>
      <scheme val="minor"/>
    </font>
    <font>
      <sz val="11"/>
      <color rgb="FF92D050"/>
      <name val="Arial"/>
      <family val="2"/>
      <scheme val="minor"/>
    </font>
    <font>
      <sz val="11"/>
      <color rgb="FF00B0F0"/>
      <name val="Arial"/>
      <family val="2"/>
      <scheme val="minor"/>
    </font>
    <font>
      <sz val="11"/>
      <color rgb="FF7030A0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theme="6" tint="-0.249977111117893"/>
      <name val="Arial"/>
      <family val="2"/>
      <scheme val="minor"/>
    </font>
    <font>
      <sz val="11"/>
      <color theme="7"/>
      <name val="Arial"/>
      <family val="2"/>
      <scheme val="minor"/>
    </font>
    <font>
      <sz val="11"/>
      <color rgb="FFC69900"/>
      <name val="Arial"/>
      <family val="2"/>
      <scheme val="minor"/>
    </font>
    <font>
      <sz val="11"/>
      <color rgb="FF00B0F0"/>
      <name val="Arial"/>
      <family val="2"/>
      <scheme val="major"/>
    </font>
    <font>
      <sz val="11"/>
      <color theme="1"/>
      <name val="Calibri"/>
      <family val="2"/>
    </font>
    <font>
      <sz val="11"/>
      <color theme="8" tint="0.59999389629810485"/>
      <name val="Calibri"/>
      <family val="2"/>
    </font>
    <font>
      <sz val="11"/>
      <color theme="4"/>
      <name val="Calibri"/>
      <family val="2"/>
    </font>
    <font>
      <sz val="11"/>
      <color rgb="FF00B050"/>
      <name val="Calibri"/>
      <family val="2"/>
    </font>
    <font>
      <sz val="11"/>
      <color theme="8" tint="0.39997558519241921"/>
      <name val="Calibri"/>
      <family val="2"/>
    </font>
    <font>
      <sz val="11"/>
      <color theme="4" tint="-0.249977111117893"/>
      <name val="Calibri"/>
      <family val="2"/>
    </font>
    <font>
      <sz val="11"/>
      <color rgb="FF92D050"/>
      <name val="Calibri"/>
      <family val="2"/>
    </font>
    <font>
      <sz val="11"/>
      <color theme="8" tint="-0.249977111117893"/>
      <name val="Calibri"/>
      <family val="2"/>
    </font>
    <font>
      <sz val="11"/>
      <color theme="6" tint="-0.249977111117893"/>
      <name val="Calibri"/>
      <family val="2"/>
    </font>
    <font>
      <sz val="11"/>
      <color rgb="FF00B0F0"/>
      <name val="Calibri"/>
      <family val="2"/>
    </font>
    <font>
      <sz val="11"/>
      <color theme="8" tint="-0.499984740745262"/>
      <name val="Calibri"/>
      <family val="2"/>
    </font>
    <font>
      <sz val="11"/>
      <color rgb="FF0070C0"/>
      <name val="Calibri"/>
      <family val="2"/>
    </font>
    <font>
      <sz val="11"/>
      <color rgb="FF7030A0"/>
      <name val="Calibri"/>
      <family val="2"/>
    </font>
    <font>
      <sz val="11"/>
      <color theme="8"/>
      <name val="Calibri"/>
      <family val="2"/>
    </font>
    <font>
      <strike/>
      <sz val="11"/>
      <name val="Arial"/>
      <family val="2"/>
      <scheme val="major"/>
    </font>
    <font>
      <strike/>
      <sz val="10"/>
      <name val="Arial"/>
      <family val="2"/>
      <scheme val="major"/>
    </font>
    <font>
      <sz val="10"/>
      <color theme="1"/>
      <name val="Arial"/>
      <family val="2"/>
      <scheme val="major"/>
    </font>
    <font>
      <b/>
      <sz val="10"/>
      <color theme="0"/>
      <name val="Arial"/>
      <family val="2"/>
      <scheme val="major"/>
    </font>
    <font>
      <u/>
      <sz val="11"/>
      <color theme="10"/>
      <name val="Arial"/>
      <family val="2"/>
      <scheme val="minor"/>
    </font>
    <font>
      <u/>
      <sz val="9"/>
      <color theme="10"/>
      <name val="Arial"/>
      <family val="2"/>
      <scheme val="minor"/>
    </font>
    <font>
      <b/>
      <sz val="24"/>
      <color theme="0"/>
      <name val="Arial"/>
      <family val="2"/>
      <scheme val="major"/>
    </font>
    <font>
      <sz val="28"/>
      <color theme="4" tint="-0.24994659260841701"/>
      <name val="Arial"/>
      <family val="2"/>
      <scheme val="major"/>
    </font>
    <font>
      <sz val="11"/>
      <color theme="7" tint="-0.499984740745262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name val="Arial"/>
      <family val="2"/>
      <scheme val="major"/>
    </font>
    <font>
      <sz val="12"/>
      <color rgb="FF000000"/>
      <name val="Arial"/>
      <family val="2"/>
      <scheme val="major"/>
    </font>
    <font>
      <sz val="12"/>
      <color theme="1"/>
      <name val="Arial"/>
      <family val="2"/>
      <scheme val="minor"/>
    </font>
    <font>
      <u/>
      <sz val="9"/>
      <color rgb="FF0070C0"/>
      <name val="Arial"/>
      <family val="2"/>
    </font>
    <font>
      <b/>
      <sz val="10"/>
      <name val="Arial"/>
      <family val="2"/>
    </font>
    <font>
      <b/>
      <sz val="10"/>
      <color theme="7"/>
      <name val="Arial"/>
      <family val="2"/>
      <scheme val="major"/>
    </font>
    <font>
      <sz val="10"/>
      <color rgb="FF0070C0"/>
      <name val="Arial"/>
      <family val="2"/>
      <scheme val="major"/>
    </font>
    <font>
      <sz val="10"/>
      <color theme="0"/>
      <name val="Arial"/>
      <family val="2"/>
    </font>
    <font>
      <sz val="9"/>
      <color theme="7"/>
      <name val="Arial"/>
      <family val="2"/>
      <scheme val="major"/>
    </font>
    <font>
      <sz val="8"/>
      <color theme="0" tint="-0.14999847407452621"/>
      <name val="Arial"/>
      <family val="2"/>
      <scheme val="major"/>
    </font>
    <font>
      <sz val="8"/>
      <color theme="0" tint="-0.14999847407452621"/>
      <name val="Arial"/>
      <family val="2"/>
    </font>
    <font>
      <strike/>
      <sz val="10"/>
      <name val="Arial"/>
      <family val="2"/>
    </font>
    <font>
      <strike/>
      <u/>
      <sz val="11"/>
      <color theme="10"/>
      <name val="Arial"/>
      <family val="2"/>
      <scheme val="minor"/>
    </font>
    <font>
      <strike/>
      <u/>
      <sz val="9"/>
      <color rgb="FF0070C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rgb="FFCC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 style="thick">
        <color theme="0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4" tint="-0.24994659260841701"/>
      </top>
      <bottom style="double">
        <color theme="4" tint="-0.24994659260841701"/>
      </bottom>
      <diagonal/>
    </border>
    <border>
      <left/>
      <right/>
      <top/>
      <bottom style="double">
        <color theme="7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/>
      <right/>
      <top style="double">
        <color theme="7"/>
      </top>
      <bottom style="thin">
        <color theme="7"/>
      </bottom>
      <diagonal/>
    </border>
  </borders>
  <cellStyleXfs count="18">
    <xf numFmtId="0" fontId="0" fillId="0" borderId="0" applyFill="0" applyBorder="0" applyProtection="0">
      <alignment vertical="center"/>
    </xf>
    <xf numFmtId="0" fontId="8" fillId="3" borderId="0" applyNumberFormat="0" applyBorder="0" applyAlignment="0" applyProtection="0"/>
    <xf numFmtId="0" fontId="62" fillId="0" borderId="0" applyNumberFormat="0" applyFill="0" applyProtection="0">
      <alignment horizontal="left" vertical="center" indent="3"/>
    </xf>
    <xf numFmtId="0" fontId="3" fillId="4" borderId="1" applyNumberFormat="0" applyAlignment="0" applyProtection="0"/>
    <xf numFmtId="0" fontId="4" fillId="5" borderId="2" applyNumberFormat="0" applyProtection="0">
      <alignment vertical="center"/>
    </xf>
    <xf numFmtId="164" fontId="67" fillId="0" borderId="8" applyFill="0" applyProtection="0">
      <alignment horizontal="left" vertical="center" wrapText="1" indent="1"/>
    </xf>
    <xf numFmtId="164" fontId="7" fillId="0" borderId="6" applyFill="0" applyProtection="0">
      <alignment horizontal="left" vertical="top" wrapText="1" indent="1"/>
    </xf>
    <xf numFmtId="164" fontId="1" fillId="0" borderId="0" applyNumberFormat="0" applyFill="0" applyProtection="0">
      <alignment horizontal="left" vertical="top" wrapText="1" indent="1"/>
    </xf>
    <xf numFmtId="164" fontId="6" fillId="0" borderId="7" applyNumberFormat="0" applyFill="0" applyProtection="0">
      <alignment horizontal="left" vertical="center" wrapText="1" indent="1"/>
    </xf>
    <xf numFmtId="0" fontId="61" fillId="6" borderId="0" applyNumberFormat="0" applyBorder="0" applyProtection="0">
      <alignment horizontal="center" vertical="center"/>
    </xf>
    <xf numFmtId="0" fontId="58" fillId="7" borderId="3" applyNumberFormat="0" applyProtection="0">
      <alignment horizontal="left" vertical="center" indent="1"/>
    </xf>
    <xf numFmtId="0" fontId="58" fillId="6" borderId="3" applyNumberFormat="0" applyProtection="0">
      <alignment horizontal="left" indent="1"/>
    </xf>
    <xf numFmtId="0" fontId="5" fillId="0" borderId="0" applyNumberFormat="0" applyFill="0" applyBorder="0" applyAlignment="0" applyProtection="0"/>
    <xf numFmtId="0" fontId="6" fillId="8" borderId="9" applyNumberFormat="0" applyFont="0" applyAlignment="0" applyProtection="0"/>
    <xf numFmtId="0" fontId="10" fillId="0" borderId="0" applyNumberFormat="0" applyFill="0" applyBorder="0" applyAlignment="0" applyProtection="0"/>
    <xf numFmtId="0" fontId="9" fillId="0" borderId="10" applyNumberFormat="0" applyFill="0" applyAlignment="0" applyProtection="0"/>
    <xf numFmtId="0" fontId="59" fillId="0" borderId="0" applyNumberFormat="0" applyFill="0" applyBorder="0" applyAlignment="0" applyProtection="0"/>
    <xf numFmtId="0" fontId="68" fillId="0" borderId="0" applyFill="0" applyBorder="0" applyProtection="0">
      <alignment vertical="center"/>
    </xf>
  </cellStyleXfs>
  <cellXfs count="162">
    <xf numFmtId="0" fontId="0" fillId="0" borderId="0" xfId="0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1" fontId="11" fillId="0" borderId="0" xfId="0" applyNumberFormat="1" applyFont="1">
      <alignment vertical="center"/>
    </xf>
    <xf numFmtId="0" fontId="12" fillId="0" borderId="0" xfId="0" applyFont="1">
      <alignment vertical="center"/>
    </xf>
    <xf numFmtId="14" fontId="12" fillId="0" borderId="0" xfId="0" applyNumberFormat="1" applyFont="1">
      <alignment vertical="center"/>
    </xf>
    <xf numFmtId="1" fontId="12" fillId="0" borderId="0" xfId="0" applyNumberFormat="1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0" borderId="0" xfId="0" applyFont="1" applyFill="1">
      <alignment vertical="center"/>
    </xf>
    <xf numFmtId="0" fontId="16" fillId="0" borderId="0" xfId="0" applyFont="1" applyFill="1">
      <alignment vertical="center"/>
    </xf>
    <xf numFmtId="14" fontId="14" fillId="0" borderId="0" xfId="0" applyNumberFormat="1" applyFont="1">
      <alignment vertical="center"/>
    </xf>
    <xf numFmtId="14" fontId="15" fillId="0" borderId="0" xfId="0" applyNumberFormat="1" applyFont="1">
      <alignment vertical="center"/>
    </xf>
    <xf numFmtId="0" fontId="16" fillId="0" borderId="0" xfId="0" applyFont="1" applyAlignment="1">
      <alignment horizontal="right"/>
    </xf>
    <xf numFmtId="0" fontId="14" fillId="0" borderId="0" xfId="0" applyFont="1" applyAlignment="1">
      <alignment wrapText="1"/>
    </xf>
    <xf numFmtId="0" fontId="17" fillId="0" borderId="0" xfId="0" applyFont="1" applyAlignment="1">
      <alignment wrapText="1"/>
    </xf>
    <xf numFmtId="0" fontId="15" fillId="0" borderId="0" xfId="0" applyFont="1" applyBorder="1">
      <alignment vertical="center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horizontal="center" wrapText="1"/>
    </xf>
    <xf numFmtId="0" fontId="15" fillId="0" borderId="0" xfId="0" applyFont="1" applyAlignment="1">
      <alignment horizontal="center" vertical="top"/>
    </xf>
    <xf numFmtId="49" fontId="17" fillId="0" borderId="0" xfId="0" applyNumberFormat="1" applyFont="1" applyFill="1" applyAlignment="1">
      <alignment wrapText="1"/>
    </xf>
    <xf numFmtId="0" fontId="17" fillId="0" borderId="0" xfId="0" applyFont="1" applyFill="1" applyAlignment="1">
      <alignment horizontal="center" wrapText="1"/>
    </xf>
    <xf numFmtId="49" fontId="16" fillId="0" borderId="0" xfId="0" applyNumberFormat="1" applyFont="1" applyFill="1">
      <alignment vertical="center"/>
    </xf>
    <xf numFmtId="0" fontId="16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 vertical="center" wrapText="1"/>
    </xf>
    <xf numFmtId="0" fontId="16" fillId="0" borderId="0" xfId="0" applyFont="1" applyFill="1" applyAlignment="1">
      <alignment horizontal="center" vertical="center"/>
    </xf>
    <xf numFmtId="0" fontId="16" fillId="0" borderId="0" xfId="0" quotePrefix="1" applyFont="1">
      <alignment vertical="center"/>
    </xf>
    <xf numFmtId="0" fontId="20" fillId="0" borderId="0" xfId="0" applyFont="1">
      <alignment vertical="center"/>
    </xf>
    <xf numFmtId="165" fontId="18" fillId="0" borderId="0" xfId="0" applyNumberFormat="1" applyFont="1">
      <alignment vertical="center"/>
    </xf>
    <xf numFmtId="0" fontId="18" fillId="0" borderId="0" xfId="0" applyFont="1">
      <alignment vertical="center"/>
    </xf>
    <xf numFmtId="0" fontId="13" fillId="2" borderId="0" xfId="0" applyFont="1" applyFill="1">
      <alignment vertical="center"/>
    </xf>
    <xf numFmtId="164" fontId="22" fillId="0" borderId="8" xfId="5" applyFont="1" applyFill="1">
      <alignment horizontal="left" vertical="center" wrapText="1" indent="1"/>
    </xf>
    <xf numFmtId="164" fontId="22" fillId="0" borderId="4" xfId="5" applyFont="1" applyFill="1" applyBorder="1">
      <alignment horizontal="left" vertical="center" wrapText="1" indent="1"/>
    </xf>
    <xf numFmtId="0" fontId="7" fillId="0" borderId="6" xfId="6" applyNumberFormat="1" applyFill="1">
      <alignment horizontal="left" vertical="top" wrapText="1" indent="1"/>
    </xf>
    <xf numFmtId="0" fontId="7" fillId="0" borderId="5" xfId="6" applyNumberFormat="1" applyFill="1" applyBorder="1">
      <alignment horizontal="left" vertical="top" wrapText="1" indent="1"/>
    </xf>
    <xf numFmtId="0" fontId="7" fillId="0" borderId="0" xfId="6" applyNumberFormat="1" applyFill="1" applyBorder="1">
      <alignment horizontal="left" vertical="top" wrapText="1" indent="1"/>
    </xf>
    <xf numFmtId="0" fontId="61" fillId="0" borderId="0" xfId="9" applyFill="1">
      <alignment horizontal="center" vertical="center"/>
    </xf>
    <xf numFmtId="165" fontId="18" fillId="0" borderId="0" xfId="0" applyNumberFormat="1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Alignment="1">
      <alignment horizontal="center" wrapText="1"/>
    </xf>
    <xf numFmtId="0" fontId="16" fillId="0" borderId="0" xfId="0" applyFont="1" applyAlignment="1">
      <alignment horizontal="center"/>
    </xf>
    <xf numFmtId="0" fontId="13" fillId="0" borderId="0" xfId="0" applyFont="1" applyFill="1">
      <alignment vertical="center"/>
    </xf>
    <xf numFmtId="0" fontId="13" fillId="0" borderId="0" xfId="0" applyFont="1" applyFill="1" applyAlignment="1">
      <alignment horizontal="right" vertical="center"/>
    </xf>
    <xf numFmtId="0" fontId="13" fillId="0" borderId="0" xfId="0" applyFont="1" applyFill="1" applyAlignment="1">
      <alignment horizontal="left" vertical="center"/>
    </xf>
    <xf numFmtId="0" fontId="24" fillId="0" borderId="0" xfId="0" applyFont="1">
      <alignment vertical="center"/>
    </xf>
    <xf numFmtId="0" fontId="25" fillId="0" borderId="11" xfId="0" applyFont="1" applyFill="1" applyBorder="1" applyAlignment="1">
      <alignment horizontal="right" vertical="center"/>
    </xf>
    <xf numFmtId="0" fontId="25" fillId="0" borderId="11" xfId="0" applyFont="1" applyFill="1" applyBorder="1" applyAlignment="1">
      <alignment horizontal="left" vertical="center"/>
    </xf>
    <xf numFmtId="0" fontId="26" fillId="0" borderId="11" xfId="0" applyFont="1" applyBorder="1">
      <alignment vertical="center"/>
    </xf>
    <xf numFmtId="0" fontId="13" fillId="10" borderId="0" xfId="0" applyFont="1" applyFill="1">
      <alignment vertical="center"/>
    </xf>
    <xf numFmtId="0" fontId="13" fillId="11" borderId="0" xfId="0" applyFont="1" applyFill="1">
      <alignment vertical="center"/>
    </xf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23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37" fillId="0" borderId="0" xfId="0" applyFont="1">
      <alignment vertical="center"/>
    </xf>
    <xf numFmtId="0" fontId="38" fillId="0" borderId="0" xfId="0" applyFont="1">
      <alignment vertical="center"/>
    </xf>
    <xf numFmtId="0" fontId="39" fillId="0" borderId="0" xfId="0" applyFont="1">
      <alignment vertical="center"/>
    </xf>
    <xf numFmtId="0" fontId="13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horizontal="left" vertical="center"/>
    </xf>
    <xf numFmtId="0" fontId="15" fillId="0" borderId="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24" fillId="0" borderId="0" xfId="0" applyFont="1" applyFill="1" applyBorder="1">
      <alignment vertical="center"/>
    </xf>
    <xf numFmtId="0" fontId="13" fillId="0" borderId="0" xfId="0" applyFont="1" applyBorder="1">
      <alignment vertical="center"/>
    </xf>
    <xf numFmtId="0" fontId="24" fillId="0" borderId="0" xfId="0" applyFont="1" applyBorder="1">
      <alignment vertical="center"/>
    </xf>
    <xf numFmtId="0" fontId="13" fillId="0" borderId="0" xfId="0" applyFont="1" applyAlignment="1">
      <alignment horizontal="left"/>
    </xf>
    <xf numFmtId="0" fontId="40" fillId="0" borderId="0" xfId="0" applyFont="1" applyAlignment="1">
      <alignment horizontal="left"/>
    </xf>
    <xf numFmtId="0" fontId="41" fillId="0" borderId="0" xfId="0" applyFont="1" applyFill="1" applyBorder="1">
      <alignment vertical="center"/>
    </xf>
    <xf numFmtId="0" fontId="42" fillId="0" borderId="0" xfId="0" applyFont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0" fontId="46" fillId="0" borderId="0" xfId="0" applyFont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0" fontId="49" fillId="0" borderId="0" xfId="0" applyFont="1">
      <alignment vertical="center"/>
    </xf>
    <xf numFmtId="0" fontId="50" fillId="0" borderId="0" xfId="0" applyFont="1">
      <alignment vertical="center"/>
    </xf>
    <xf numFmtId="0" fontId="51" fillId="0" borderId="0" xfId="0" applyFont="1">
      <alignment vertical="center"/>
    </xf>
    <xf numFmtId="0" fontId="52" fillId="0" borderId="0" xfId="0" applyFont="1">
      <alignment vertical="center"/>
    </xf>
    <xf numFmtId="0" fontId="53" fillId="0" borderId="0" xfId="0" applyFont="1">
      <alignment vertical="center"/>
    </xf>
    <xf numFmtId="0" fontId="14" fillId="0" borderId="0" xfId="0" applyFont="1" applyFill="1">
      <alignment vertical="center"/>
    </xf>
    <xf numFmtId="14" fontId="54" fillId="0" borderId="0" xfId="0" applyNumberFormat="1" applyFont="1">
      <alignment vertical="center"/>
    </xf>
    <xf numFmtId="0" fontId="12" fillId="0" borderId="0" xfId="0" applyFont="1" applyFill="1">
      <alignment vertical="center"/>
    </xf>
    <xf numFmtId="0" fontId="55" fillId="0" borderId="0" xfId="0" applyFont="1" applyFill="1" applyAlignment="1">
      <alignment horizontal="right" vertical="center"/>
    </xf>
    <xf numFmtId="0" fontId="56" fillId="0" borderId="0" xfId="0" applyFont="1" applyFill="1">
      <alignment vertical="center"/>
    </xf>
    <xf numFmtId="0" fontId="55" fillId="0" borderId="0" xfId="0" applyFont="1" applyFill="1" applyBorder="1" applyAlignment="1">
      <alignment horizontal="left" vertical="center"/>
    </xf>
    <xf numFmtId="0" fontId="19" fillId="0" borderId="0" xfId="0" applyFont="1" applyFill="1">
      <alignment vertical="center"/>
    </xf>
    <xf numFmtId="0" fontId="60" fillId="0" borderId="0" xfId="16" applyFont="1" applyFill="1" applyAlignment="1">
      <alignment vertical="center"/>
    </xf>
    <xf numFmtId="0" fontId="19" fillId="0" borderId="0" xfId="0" applyFont="1" applyFill="1" applyBorder="1">
      <alignment vertical="center"/>
    </xf>
    <xf numFmtId="0" fontId="58" fillId="7" borderId="3" xfId="10">
      <alignment horizontal="left" vertical="center" indent="1"/>
    </xf>
    <xf numFmtId="0" fontId="57" fillId="0" borderId="6" xfId="6" applyNumberFormat="1" applyFont="1" applyFill="1">
      <alignment horizontal="left" vertical="top" wrapText="1" indent="1"/>
    </xf>
    <xf numFmtId="0" fontId="57" fillId="0" borderId="5" xfId="6" applyNumberFormat="1" applyFont="1" applyFill="1" applyBorder="1">
      <alignment horizontal="left" vertical="top" wrapText="1" indent="1"/>
    </xf>
    <xf numFmtId="0" fontId="6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58" fillId="6" borderId="3" xfId="11" applyAlignment="1">
      <alignment horizontal="center" vertical="center"/>
    </xf>
    <xf numFmtId="0" fontId="58" fillId="7" borderId="3" xfId="10" applyAlignment="1">
      <alignment horizontal="center" vertical="center"/>
    </xf>
    <xf numFmtId="0" fontId="58" fillId="14" borderId="3" xfId="11" applyFill="1" applyAlignment="1">
      <alignment horizontal="center" vertical="center"/>
    </xf>
    <xf numFmtId="164" fontId="64" fillId="0" borderId="8" xfId="5" applyFont="1" applyFill="1">
      <alignment horizontal="left" vertical="center" wrapText="1" indent="1"/>
    </xf>
    <xf numFmtId="164" fontId="64" fillId="0" borderId="4" xfId="5" applyFont="1" applyFill="1" applyBorder="1">
      <alignment horizontal="left" vertical="center" wrapText="1" indent="1"/>
    </xf>
    <xf numFmtId="164" fontId="65" fillId="13" borderId="8" xfId="5" applyFont="1" applyFill="1">
      <alignment horizontal="left" vertical="center" wrapText="1" indent="1"/>
    </xf>
    <xf numFmtId="164" fontId="66" fillId="12" borderId="8" xfId="5" applyFont="1" applyFill="1">
      <alignment horizontal="left" vertical="center" wrapText="1" indent="1"/>
    </xf>
    <xf numFmtId="164" fontId="65" fillId="0" borderId="8" xfId="5" applyFont="1" applyFill="1">
      <alignment horizontal="left" vertical="center" wrapText="1" indent="1"/>
    </xf>
    <xf numFmtId="164" fontId="66" fillId="12" borderId="4" xfId="5" applyFont="1" applyFill="1" applyBorder="1">
      <alignment horizontal="left" vertical="center" wrapText="1" indent="1"/>
    </xf>
    <xf numFmtId="0" fontId="13" fillId="0" borderId="0" xfId="0" applyFont="1" applyAlignment="1">
      <alignment horizontal="center" vertical="center"/>
    </xf>
    <xf numFmtId="0" fontId="21" fillId="0" borderId="0" xfId="2" applyFont="1" applyFill="1" applyAlignment="1">
      <alignment horizontal="left" vertical="center"/>
    </xf>
    <xf numFmtId="0" fontId="63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69" fillId="0" borderId="0" xfId="0" applyFont="1" applyFill="1">
      <alignment vertical="center"/>
    </xf>
    <xf numFmtId="0" fontId="15" fillId="0" borderId="0" xfId="0" applyFont="1" applyFill="1" applyAlignment="1">
      <alignment horizontal="left" vertical="center"/>
    </xf>
    <xf numFmtId="164" fontId="65" fillId="0" borderId="4" xfId="5" applyFont="1" applyFill="1" applyBorder="1">
      <alignment horizontal="left" vertical="center" wrapText="1" indent="1"/>
    </xf>
    <xf numFmtId="165" fontId="71" fillId="0" borderId="12" xfId="0" applyNumberFormat="1" applyFont="1" applyBorder="1" applyAlignment="1">
      <alignment horizontal="right" vertical="center"/>
    </xf>
    <xf numFmtId="0" fontId="15" fillId="0" borderId="0" xfId="0" applyFont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72" fillId="0" borderId="0" xfId="0" applyFont="1" applyFill="1">
      <alignment vertical="center"/>
    </xf>
    <xf numFmtId="0" fontId="72" fillId="0" borderId="0" xfId="0" applyFont="1">
      <alignment vertical="center"/>
    </xf>
    <xf numFmtId="0" fontId="72" fillId="0" borderId="0" xfId="0" applyFont="1" applyBorder="1">
      <alignment vertical="center"/>
    </xf>
    <xf numFmtId="0" fontId="72" fillId="0" borderId="0" xfId="0" applyFont="1" applyFill="1" applyBorder="1">
      <alignment vertical="center"/>
    </xf>
    <xf numFmtId="0" fontId="68" fillId="0" borderId="0" xfId="17" applyFill="1">
      <alignment vertical="center"/>
    </xf>
    <xf numFmtId="0" fontId="68" fillId="0" borderId="0" xfId="17" applyFill="1" applyBorder="1">
      <alignment vertical="center"/>
    </xf>
    <xf numFmtId="14" fontId="0" fillId="0" borderId="0" xfId="0" applyNumberFormat="1">
      <alignment vertical="center"/>
    </xf>
    <xf numFmtId="0" fontId="73" fillId="0" borderId="13" xfId="0" applyFont="1" applyFill="1" applyBorder="1" applyAlignment="1">
      <alignment horizontal="left" vertical="center"/>
    </xf>
    <xf numFmtId="0" fontId="73" fillId="0" borderId="13" xfId="0" applyFont="1" applyBorder="1">
      <alignment vertical="center"/>
    </xf>
    <xf numFmtId="0" fontId="15" fillId="0" borderId="0" xfId="0" applyFont="1" applyFill="1" applyAlignment="1">
      <alignment horizontal="center" vertical="center"/>
    </xf>
    <xf numFmtId="0" fontId="70" fillId="0" borderId="11" xfId="0" applyFont="1" applyFill="1" applyBorder="1" applyAlignment="1">
      <alignment horizontal="center" vertical="center"/>
    </xf>
    <xf numFmtId="0" fontId="73" fillId="0" borderId="13" xfId="0" applyFont="1" applyFill="1" applyBorder="1" applyAlignment="1">
      <alignment horizontal="center" vertical="center"/>
    </xf>
    <xf numFmtId="0" fontId="15" fillId="0" borderId="0" xfId="0" applyFont="1" applyAlignment="1">
      <alignment horizontal="fill" vertical="center"/>
    </xf>
    <xf numFmtId="0" fontId="26" fillId="0" borderId="11" xfId="0" applyFont="1" applyBorder="1" applyAlignment="1">
      <alignment horizontal="fill" vertical="center"/>
    </xf>
    <xf numFmtId="0" fontId="0" fillId="0" borderId="0" xfId="0" applyFill="1" applyBorder="1" applyAlignment="1">
      <alignment horizontal="fill" vertical="center"/>
    </xf>
    <xf numFmtId="0" fontId="74" fillId="0" borderId="0" xfId="0" applyFont="1">
      <alignment vertical="center"/>
    </xf>
    <xf numFmtId="0" fontId="74" fillId="0" borderId="0" xfId="0" applyFont="1" applyFill="1">
      <alignment vertical="center"/>
    </xf>
    <xf numFmtId="0" fontId="75" fillId="0" borderId="0" xfId="0" applyFont="1" applyFill="1" applyBorder="1">
      <alignment vertical="center"/>
    </xf>
    <xf numFmtId="0" fontId="75" fillId="0" borderId="0" xfId="0" applyFont="1" applyBorder="1">
      <alignment vertical="center"/>
    </xf>
    <xf numFmtId="0" fontId="16" fillId="0" borderId="0" xfId="16" applyFont="1" applyAlignment="1">
      <alignment vertical="center"/>
    </xf>
    <xf numFmtId="0" fontId="26" fillId="0" borderId="13" xfId="0" applyFont="1" applyFill="1" applyBorder="1" applyAlignment="1">
      <alignment horizontal="center" vertical="center"/>
    </xf>
    <xf numFmtId="0" fontId="16" fillId="0" borderId="11" xfId="0" applyFont="1" applyBorder="1">
      <alignment vertical="center"/>
    </xf>
    <xf numFmtId="0" fontId="16" fillId="0" borderId="13" xfId="0" applyFont="1" applyBorder="1">
      <alignment vertic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left" vertical="center"/>
    </xf>
    <xf numFmtId="0" fontId="76" fillId="0" borderId="0" xfId="0" applyFont="1" applyFill="1">
      <alignment vertical="center"/>
    </xf>
    <xf numFmtId="0" fontId="76" fillId="0" borderId="0" xfId="0" applyFont="1" applyFill="1" applyBorder="1">
      <alignment vertical="center"/>
    </xf>
    <xf numFmtId="0" fontId="76" fillId="0" borderId="0" xfId="0" applyFont="1" applyFill="1" applyAlignment="1">
      <alignment horizontal="fill" vertical="center"/>
    </xf>
    <xf numFmtId="0" fontId="59" fillId="0" borderId="0" xfId="16" applyFill="1" applyAlignment="1">
      <alignment vertical="center"/>
    </xf>
    <xf numFmtId="0" fontId="77" fillId="0" borderId="0" xfId="16" applyFont="1" applyFill="1" applyAlignment="1">
      <alignment vertical="center"/>
    </xf>
    <xf numFmtId="0" fontId="0" fillId="0" borderId="0" xfId="0" applyFill="1" applyAlignment="1">
      <alignment horizontal="fill" vertical="center"/>
    </xf>
    <xf numFmtId="0" fontId="78" fillId="0" borderId="0" xfId="17" applyFont="1" applyFill="1">
      <alignment vertical="center"/>
    </xf>
    <xf numFmtId="0" fontId="61" fillId="6" borderId="0" xfId="9">
      <alignment horizontal="center" vertical="center"/>
    </xf>
    <xf numFmtId="0" fontId="62" fillId="0" borderId="0" xfId="2" applyAlignment="1">
      <alignment horizontal="left" vertical="center" indent="2"/>
    </xf>
  </cellXfs>
  <cellStyles count="18">
    <cellStyle name="40% - Accent1" xfId="1" builtinId="31" customBuiltin="1"/>
    <cellStyle name="Accent1" xfId="3" builtinId="29" customBuiltin="1"/>
    <cellStyle name="Accent5" xfId="4" builtinId="45" customBuiltin="1"/>
    <cellStyle name="Day" xfId="5" xr:uid="{00000000-0005-0000-0000-000003000000}"/>
    <cellStyle name="Day Detail" xfId="6" xr:uid="{00000000-0005-0000-0000-000004000000}"/>
    <cellStyle name="Explanatory Text" xfId="14" builtinId="53" customBuiltin="1"/>
    <cellStyle name="Heading 1" xfId="2" builtinId="16" customBuiltin="1"/>
    <cellStyle name="Heading 2" xfId="10" builtinId="17" customBuiltin="1"/>
    <cellStyle name="Heading 3" xfId="11" builtinId="18" customBuiltin="1"/>
    <cellStyle name="Heading 4" xfId="12" builtinId="19" customBuiltin="1"/>
    <cellStyle name="Hyperlink" xfId="16" builtinId="8"/>
    <cellStyle name="Links" xfId="17" xr:uid="{1F8E4E5D-73BA-41DE-BD5F-5D05BB8A49BC}"/>
    <cellStyle name="Normal" xfId="0" builtinId="0" customBuiltin="1"/>
    <cellStyle name="Note" xfId="13" builtinId="10" customBuiltin="1"/>
    <cellStyle name="Notes" xfId="7" xr:uid="{00000000-0005-0000-0000-00000C000000}"/>
    <cellStyle name="Notes Header" xfId="8" xr:uid="{00000000-0005-0000-0000-00000D000000}"/>
    <cellStyle name="Title" xfId="9" builtinId="15" customBuiltin="1"/>
    <cellStyle name="Total" xfId="15" builtinId="25" customBuiltin="1"/>
  </cellStyles>
  <dxfs count="129"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border>
        <bottom style="thin">
          <color theme="7"/>
        </bottom>
        <vertical/>
        <horizontal/>
      </border>
    </dxf>
    <dxf>
      <font>
        <color rgb="FFC00000"/>
      </font>
    </dxf>
    <dxf>
      <font>
        <color rgb="FFC00000"/>
      </font>
    </dxf>
    <dxf>
      <border>
        <bottom style="thin">
          <color theme="7"/>
        </bottom>
        <vertical/>
        <horizontal/>
      </border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font>
        <strike/>
        <color theme="0" tint="-0.34998626667073579"/>
      </font>
    </dxf>
    <dxf>
      <border>
        <bottom style="thin">
          <color theme="7"/>
        </bottom>
        <vertical/>
        <horizontal/>
      </border>
    </dxf>
    <dxf>
      <font>
        <color rgb="FF7030A0"/>
      </font>
    </dxf>
    <dxf>
      <font>
        <color rgb="FF0070C0"/>
      </font>
    </dxf>
    <dxf>
      <font>
        <color rgb="FF00B0F0"/>
      </font>
    </dxf>
    <dxf>
      <font>
        <color rgb="FF92D050"/>
      </font>
    </dxf>
    <dxf>
      <font>
        <color rgb="FF00B050"/>
      </font>
    </dxf>
    <dxf>
      <font>
        <color rgb="FF9F6A28"/>
      </font>
    </dxf>
    <dxf>
      <font>
        <color rgb="FFC69900"/>
      </font>
    </dxf>
    <dxf>
      <font>
        <color rgb="FFFFCA08"/>
      </font>
    </dxf>
    <dxf>
      <font>
        <color rgb="FF76230E"/>
      </font>
    </dxf>
    <dxf>
      <font>
        <color rgb="FFB13414"/>
      </font>
    </dxf>
    <dxf>
      <font>
        <color rgb="FFF0937B"/>
      </font>
    </dxf>
    <dxf>
      <font>
        <color rgb="FFF5B7A7"/>
      </font>
    </dxf>
    <dxf>
      <font>
        <color theme="0" tint="-0.24994659260841701"/>
      </font>
    </dxf>
    <dxf>
      <fill>
        <patternFill patternType="none">
          <bgColor auto="1"/>
        </patternFill>
      </fill>
    </dxf>
    <dxf>
      <font>
        <color theme="0"/>
      </font>
      <fill>
        <patternFill>
          <bgColor theme="2" tint="-0.499984740745262"/>
        </patternFill>
      </fill>
    </dxf>
    <dxf>
      <font>
        <color theme="0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ajor"/>
      </font>
      <alignment horizontal="center" vertical="bottom" textRotation="0" 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  <mruColors>
      <color rgb="FFFFCA08"/>
      <color rgb="FF00B0F0"/>
      <color rgb="FF92D050"/>
      <color rgb="FFF5B7A7"/>
      <color rgb="FFF0937B"/>
      <color rgb="FFB13414"/>
      <color rgb="FF76230E"/>
      <color rgb="FFC69900"/>
      <color rgb="FF9F6A28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5" Type="http://schemas.openxmlformats.org/officeDocument/2006/relationships/customXml" Target="../ink/ink3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ustomXml" Target="../ink/ink7.xml"/><Relationship Id="rId2" Type="http://schemas.openxmlformats.org/officeDocument/2006/relationships/image" Target="../media/image6.png"/><Relationship Id="rId1" Type="http://schemas.openxmlformats.org/officeDocument/2006/relationships/customXml" Target="../ink/ink6.xml"/><Relationship Id="rId6" Type="http://schemas.openxmlformats.org/officeDocument/2006/relationships/image" Target="../media/image8.png"/><Relationship Id="rId5" Type="http://schemas.openxmlformats.org/officeDocument/2006/relationships/customXml" Target="../ink/ink8.xml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498101</xdr:colOff>
      <xdr:row>11</xdr:row>
      <xdr:rowOff>144050</xdr:rowOff>
    </xdr:from>
    <xdr:to>
      <xdr:col>12</xdr:col>
      <xdr:colOff>446591</xdr:colOff>
      <xdr:row>12</xdr:row>
      <xdr:rowOff>136728</xdr:rowOff>
    </xdr:to>
    <xdr:sp macro="[0]!btn_Trocar" textlink="">
      <xdr:nvSpPr>
        <xdr:cNvPr id="2" name="Rectangle 1">
          <a:extLst>
            <a:ext uri="{FF2B5EF4-FFF2-40B4-BE49-F238E27FC236}">
              <a16:creationId xmlns:a16="http://schemas.microsoft.com/office/drawing/2014/main" id="{17B93FAC-7C63-7886-B77B-EE0B05E93C71}"/>
            </a:ext>
          </a:extLst>
        </xdr:cNvPr>
        <xdr:cNvSpPr/>
      </xdr:nvSpPr>
      <xdr:spPr>
        <a:xfrm>
          <a:off x="9604001" y="2501714"/>
          <a:ext cx="895910" cy="3311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>
              <a:solidFill>
                <a:schemeClr val="bg1"/>
              </a:solidFill>
              <a:latin typeface="+mj-lt"/>
            </a:rPr>
            <a:t>Trocar</a:t>
          </a:r>
        </a:p>
      </xdr:txBody>
    </xdr:sp>
    <xdr:clientData/>
  </xdr:twoCellAnchor>
  <xdr:twoCellAnchor editAs="absolute">
    <xdr:from>
      <xdr:col>12</xdr:col>
      <xdr:colOff>521671</xdr:colOff>
      <xdr:row>11</xdr:row>
      <xdr:rowOff>144050</xdr:rowOff>
    </xdr:from>
    <xdr:to>
      <xdr:col>15</xdr:col>
      <xdr:colOff>76760</xdr:colOff>
      <xdr:row>12</xdr:row>
      <xdr:rowOff>136728</xdr:rowOff>
    </xdr:to>
    <xdr:sp macro="[0]!btn_Avançar" textlink="">
      <xdr:nvSpPr>
        <xdr:cNvPr id="10" name="Rectangle 9">
          <a:extLst>
            <a:ext uri="{FF2B5EF4-FFF2-40B4-BE49-F238E27FC236}">
              <a16:creationId xmlns:a16="http://schemas.microsoft.com/office/drawing/2014/main" id="{7E6B4958-33AB-4AAE-B714-D79D71A6EAE4}"/>
            </a:ext>
          </a:extLst>
        </xdr:cNvPr>
        <xdr:cNvSpPr/>
      </xdr:nvSpPr>
      <xdr:spPr>
        <a:xfrm>
          <a:off x="10574991" y="2501714"/>
          <a:ext cx="369794" cy="3311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>
              <a:solidFill>
                <a:schemeClr val="bg1"/>
              </a:solidFill>
              <a:latin typeface="+mj-lt"/>
            </a:rPr>
            <a:t>&gt;</a:t>
          </a:r>
        </a:p>
      </xdr:txBody>
    </xdr:sp>
    <xdr:clientData/>
  </xdr:twoCellAnchor>
  <xdr:twoCellAnchor editAs="absolute">
    <xdr:from>
      <xdr:col>10</xdr:col>
      <xdr:colOff>59654</xdr:colOff>
      <xdr:row>11</xdr:row>
      <xdr:rowOff>144050</xdr:rowOff>
    </xdr:from>
    <xdr:to>
      <xdr:col>10</xdr:col>
      <xdr:colOff>407035</xdr:colOff>
      <xdr:row>12</xdr:row>
      <xdr:rowOff>136795</xdr:rowOff>
    </xdr:to>
    <xdr:sp macro="[0]!btn_Recuar" textlink="">
      <xdr:nvSpPr>
        <xdr:cNvPr id="11" name="Rectangle 10">
          <a:extLst>
            <a:ext uri="{FF2B5EF4-FFF2-40B4-BE49-F238E27FC236}">
              <a16:creationId xmlns:a16="http://schemas.microsoft.com/office/drawing/2014/main" id="{D8340B47-1D35-4F4F-A323-C809BBAFCB7B}"/>
            </a:ext>
          </a:extLst>
        </xdr:cNvPr>
        <xdr:cNvSpPr/>
      </xdr:nvSpPr>
      <xdr:spPr>
        <a:xfrm>
          <a:off x="9177619" y="2501714"/>
          <a:ext cx="328331" cy="331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 baseline="0">
              <a:solidFill>
                <a:schemeClr val="bg1"/>
              </a:solidFill>
              <a:latin typeface="+mj-lt"/>
            </a:rPr>
            <a:t>&lt;</a:t>
          </a:r>
        </a:p>
      </xdr:txBody>
    </xdr:sp>
    <xdr:clientData/>
  </xdr:twoCellAnchor>
  <xdr:twoCellAnchor editAs="absolute">
    <xdr:from>
      <xdr:col>10</xdr:col>
      <xdr:colOff>59654</xdr:colOff>
      <xdr:row>12</xdr:row>
      <xdr:rowOff>197576</xdr:rowOff>
    </xdr:from>
    <xdr:to>
      <xdr:col>15</xdr:col>
      <xdr:colOff>60776</xdr:colOff>
      <xdr:row>14</xdr:row>
      <xdr:rowOff>163651</xdr:rowOff>
    </xdr:to>
    <xdr:sp macro="[0]!btn_AcertarComHoje" textlink="">
      <xdr:nvSpPr>
        <xdr:cNvPr id="12" name="Rectangle 11">
          <a:extLst>
            <a:ext uri="{FF2B5EF4-FFF2-40B4-BE49-F238E27FC236}">
              <a16:creationId xmlns:a16="http://schemas.microsoft.com/office/drawing/2014/main" id="{0572E0C1-07DD-4604-8EB4-DA6D382CFC3D}"/>
            </a:ext>
          </a:extLst>
        </xdr:cNvPr>
        <xdr:cNvSpPr/>
      </xdr:nvSpPr>
      <xdr:spPr>
        <a:xfrm>
          <a:off x="9177619" y="2914650"/>
          <a:ext cx="1763247" cy="331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PT" sz="1000">
              <a:solidFill>
                <a:schemeClr val="bg1"/>
              </a:solidFill>
              <a:latin typeface="+mj-lt"/>
            </a:rPr>
            <a:t>Acertar com</a:t>
          </a:r>
          <a:r>
            <a:rPr lang="pt-PT" sz="1000" baseline="0">
              <a:solidFill>
                <a:schemeClr val="bg1"/>
              </a:solidFill>
              <a:latin typeface="+mj-lt"/>
            </a:rPr>
            <a:t> o dia de hoje</a:t>
          </a:r>
          <a:endParaRPr lang="pt-PT" sz="1000">
            <a:solidFill>
              <a:schemeClr val="bg1"/>
            </a:solidFill>
            <a:latin typeface="+mj-lt"/>
          </a:endParaRPr>
        </a:p>
      </xdr:txBody>
    </xdr:sp>
    <xdr:clientData/>
  </xdr:twoCellAnchor>
  <xdr:twoCellAnchor editAs="absolute">
    <xdr:from>
      <xdr:col>10</xdr:col>
      <xdr:colOff>59654</xdr:colOff>
      <xdr:row>15</xdr:row>
      <xdr:rowOff>61314</xdr:rowOff>
    </xdr:from>
    <xdr:to>
      <xdr:col>15</xdr:col>
      <xdr:colOff>73594</xdr:colOff>
      <xdr:row>16</xdr:row>
      <xdr:rowOff>7704</xdr:rowOff>
    </xdr:to>
    <xdr:sp macro="[0]!btn_Refazer" textlink="">
      <xdr:nvSpPr>
        <xdr:cNvPr id="14" name="Rectangle 13">
          <a:extLst>
            <a:ext uri="{FF2B5EF4-FFF2-40B4-BE49-F238E27FC236}">
              <a16:creationId xmlns:a16="http://schemas.microsoft.com/office/drawing/2014/main" id="{858735BF-B43C-484E-B900-E4D985839178}"/>
            </a:ext>
          </a:extLst>
        </xdr:cNvPr>
        <xdr:cNvSpPr/>
      </xdr:nvSpPr>
      <xdr:spPr>
        <a:xfrm>
          <a:off x="9177619" y="3339729"/>
          <a:ext cx="1764000" cy="328025"/>
        </a:xfrm>
        <a:prstGeom prst="rect">
          <a:avLst/>
        </a:prstGeom>
        <a:ln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PT" sz="1000">
              <a:solidFill>
                <a:schemeClr val="bg1"/>
              </a:solidFill>
              <a:latin typeface="+mj-lt"/>
            </a:rPr>
            <a:t>Refazer a lista</a:t>
          </a:r>
        </a:p>
      </xdr:txBody>
    </xdr:sp>
    <xdr:clientData/>
  </xdr:twoCellAnchor>
  <xdr:twoCellAnchor editAs="absolute">
    <xdr:from>
      <xdr:col>10</xdr:col>
      <xdr:colOff>59654</xdr:colOff>
      <xdr:row>8</xdr:row>
      <xdr:rowOff>135666</xdr:rowOff>
    </xdr:from>
    <xdr:to>
      <xdr:col>15</xdr:col>
      <xdr:colOff>59654</xdr:colOff>
      <xdr:row>11</xdr:row>
      <xdr:rowOff>64892</xdr:rowOff>
    </xdr:to>
    <xdr:sp macro="[0]!btn_RegistarRefeição" textlink="">
      <xdr:nvSpPr>
        <xdr:cNvPr id="16" name="Rectangle 15">
          <a:extLst>
            <a:ext uri="{FF2B5EF4-FFF2-40B4-BE49-F238E27FC236}">
              <a16:creationId xmlns:a16="http://schemas.microsoft.com/office/drawing/2014/main" id="{CDEDEAE8-CB36-4FEB-824F-A3578300BB2C}"/>
            </a:ext>
          </a:extLst>
        </xdr:cNvPr>
        <xdr:cNvSpPr/>
      </xdr:nvSpPr>
      <xdr:spPr>
        <a:xfrm>
          <a:off x="9177619" y="1868581"/>
          <a:ext cx="1762125" cy="550800"/>
        </a:xfrm>
        <a:prstGeom prst="rect">
          <a:avLst/>
        </a:prstGeom>
        <a:ln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ctr"/>
          <a:r>
            <a:rPr lang="pt-PT" sz="1000">
              <a:solidFill>
                <a:schemeClr val="bg1"/>
              </a:solidFill>
              <a:latin typeface="+mj-lt"/>
              <a:cs typeface="Calibri" panose="020F0502020204030204" pitchFamily="34" charset="0"/>
            </a:rPr>
            <a:t>Registar</a:t>
          </a:r>
          <a:r>
            <a:rPr lang="pt-PT" sz="1000">
              <a:solidFill>
                <a:schemeClr val="bg1"/>
              </a:solidFill>
              <a:latin typeface="+mj-lt"/>
            </a:rPr>
            <a:t> refeição</a:t>
          </a:r>
          <a:r>
            <a:rPr lang="pt-PT" sz="1000" baseline="0">
              <a:solidFill>
                <a:schemeClr val="bg1"/>
              </a:solidFill>
              <a:latin typeface="+mj-lt"/>
            </a:rPr>
            <a:t> </a:t>
          </a:r>
          <a:r>
            <a:rPr lang="pt-PT" sz="1000">
              <a:solidFill>
                <a:schemeClr val="bg1"/>
              </a:solidFill>
              <a:latin typeface="+mj-lt"/>
            </a:rPr>
            <a:t>seleccionada</a:t>
          </a:r>
        </a:p>
      </xdr:txBody>
    </xdr:sp>
    <xdr:clientData/>
  </xdr:twoCellAnchor>
  <xdr:twoCellAnchor editAs="absolute">
    <xdr:from>
      <xdr:col>10</xdr:col>
      <xdr:colOff>59654</xdr:colOff>
      <xdr:row>7</xdr:row>
      <xdr:rowOff>103507</xdr:rowOff>
    </xdr:from>
    <xdr:to>
      <xdr:col>15</xdr:col>
      <xdr:colOff>73594</xdr:colOff>
      <xdr:row>8</xdr:row>
      <xdr:rowOff>60625</xdr:rowOff>
    </xdr:to>
    <xdr:sp macro="[0]!btn_Verifica_Existencias" textlink="">
      <xdr:nvSpPr>
        <xdr:cNvPr id="3" name="Rectangle 2">
          <a:extLst>
            <a:ext uri="{FF2B5EF4-FFF2-40B4-BE49-F238E27FC236}">
              <a16:creationId xmlns:a16="http://schemas.microsoft.com/office/drawing/2014/main" id="{724A9308-7E73-4F32-93AC-1F1718718954}"/>
            </a:ext>
          </a:extLst>
        </xdr:cNvPr>
        <xdr:cNvSpPr/>
      </xdr:nvSpPr>
      <xdr:spPr>
        <a:xfrm>
          <a:off x="9177619" y="1447802"/>
          <a:ext cx="1764000" cy="34065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00">
              <a:solidFill>
                <a:schemeClr val="bg1"/>
              </a:solidFill>
              <a:latin typeface="+mj-lt"/>
            </a:rPr>
            <a:t>Verificar</a:t>
          </a:r>
          <a:r>
            <a:rPr lang="pt-PT" sz="1000" baseline="0">
              <a:solidFill>
                <a:schemeClr val="bg1"/>
              </a:solidFill>
              <a:latin typeface="+mj-lt"/>
            </a:rPr>
            <a:t> existências</a:t>
          </a:r>
        </a:p>
      </xdr:txBody>
    </xdr:sp>
    <xdr:clientData/>
  </xdr:twoCellAnchor>
  <xdr:twoCellAnchor editAs="absolute">
    <xdr:from>
      <xdr:col>10</xdr:col>
      <xdr:colOff>79002</xdr:colOff>
      <xdr:row>16</xdr:row>
      <xdr:rowOff>159475</xdr:rowOff>
    </xdr:from>
    <xdr:to>
      <xdr:col>11</xdr:col>
      <xdr:colOff>97417</xdr:colOff>
      <xdr:row>18</xdr:row>
      <xdr:rowOff>125484</xdr:rowOff>
    </xdr:to>
    <xdr:sp macro="[0]!btn_LibertarODia" textlink="">
      <xdr:nvSpPr>
        <xdr:cNvPr id="4" name="Rectangle 3">
          <a:extLst>
            <a:ext uri="{FF2B5EF4-FFF2-40B4-BE49-F238E27FC236}">
              <a16:creationId xmlns:a16="http://schemas.microsoft.com/office/drawing/2014/main" id="{9D72B116-2885-4FD4-AC15-DBE25F5F2C45}"/>
            </a:ext>
          </a:extLst>
        </xdr:cNvPr>
        <xdr:cNvSpPr/>
      </xdr:nvSpPr>
      <xdr:spPr>
        <a:xfrm>
          <a:off x="9184902" y="3819525"/>
          <a:ext cx="819150" cy="32795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800">
              <a:solidFill>
                <a:schemeClr val="accent3">
                  <a:lumMod val="75000"/>
                </a:schemeClr>
              </a:solidFill>
              <a:latin typeface="+mj-lt"/>
            </a:rPr>
            <a:t>Libertar o dia</a:t>
          </a:r>
        </a:p>
      </xdr:txBody>
    </xdr:sp>
    <xdr:clientData/>
  </xdr:twoCellAnchor>
  <xdr:twoCellAnchor editAs="absolute">
    <xdr:from>
      <xdr:col>12</xdr:col>
      <xdr:colOff>64069</xdr:colOff>
      <xdr:row>16</xdr:row>
      <xdr:rowOff>159475</xdr:rowOff>
    </xdr:from>
    <xdr:to>
      <xdr:col>15</xdr:col>
      <xdr:colOff>73594</xdr:colOff>
      <xdr:row>18</xdr:row>
      <xdr:rowOff>125484</xdr:rowOff>
    </xdr:to>
    <xdr:sp macro="[0]!btn_EncherODia" textlink="">
      <xdr:nvSpPr>
        <xdr:cNvPr id="5" name="Rectangle 4">
          <a:extLst>
            <a:ext uri="{FF2B5EF4-FFF2-40B4-BE49-F238E27FC236}">
              <a16:creationId xmlns:a16="http://schemas.microsoft.com/office/drawing/2014/main" id="{EA3B5B77-3384-4F4A-83AD-40A4934DA274}"/>
            </a:ext>
          </a:extLst>
        </xdr:cNvPr>
        <xdr:cNvSpPr/>
      </xdr:nvSpPr>
      <xdr:spPr>
        <a:xfrm>
          <a:off x="10122469" y="3819525"/>
          <a:ext cx="819150" cy="32795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800">
              <a:solidFill>
                <a:schemeClr val="accent3">
                  <a:lumMod val="75000"/>
                </a:schemeClr>
              </a:solidFill>
              <a:latin typeface="+mj-lt"/>
            </a:rPr>
            <a:t>Encher o dia</a:t>
          </a:r>
        </a:p>
      </xdr:txBody>
    </xdr:sp>
    <xdr:clientData/>
  </xdr:twoCellAnchor>
  <xdr:twoCellAnchor editAs="oneCell">
    <xdr:from>
      <xdr:col>10</xdr:col>
      <xdr:colOff>217320</xdr:colOff>
      <xdr:row>12</xdr:row>
      <xdr:rowOff>45531</xdr:rowOff>
    </xdr:from>
    <xdr:to>
      <xdr:col>10</xdr:col>
      <xdr:colOff>250440</xdr:colOff>
      <xdr:row>12</xdr:row>
      <xdr:rowOff>52731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AF0D0F54-BBB7-097B-0777-7ACA0D90F144}"/>
                </a:ext>
              </a:extLst>
            </xdr14:cNvPr>
            <xdr14:cNvContentPartPr/>
          </xdr14:nvContentPartPr>
          <xdr14:nvPr macro=""/>
          <xdr14:xfrm>
            <a:off x="9734760" y="2759400"/>
            <a:ext cx="33120" cy="72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AF0D0F54-BBB7-097B-0777-7ACA0D90F14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730440" y="2755080"/>
              <a:ext cx="41760" cy="1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450755</xdr:colOff>
      <xdr:row>16</xdr:row>
      <xdr:rowOff>42710</xdr:rowOff>
    </xdr:from>
    <xdr:to>
      <xdr:col>16</xdr:col>
      <xdr:colOff>502955</xdr:colOff>
      <xdr:row>16</xdr:row>
      <xdr:rowOff>76910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4ED48CD-AEC7-A264-8816-1EA0252442E0}"/>
                </a:ext>
              </a:extLst>
            </xdr14:cNvPr>
            <xdr14:cNvContentPartPr/>
          </xdr14:nvContentPartPr>
          <xdr14:nvPr macro=""/>
          <xdr14:xfrm>
            <a:off x="12432600" y="3701520"/>
            <a:ext cx="52200" cy="3420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04ED48CD-AEC7-A264-8816-1EA0252442E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2426480" y="3695400"/>
              <a:ext cx="6444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51412</xdr:colOff>
      <xdr:row>5</xdr:row>
      <xdr:rowOff>101579</xdr:rowOff>
    </xdr:from>
    <xdr:to>
      <xdr:col>11</xdr:col>
      <xdr:colOff>88132</xdr:colOff>
      <xdr:row>5</xdr:row>
      <xdr:rowOff>112379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74C40D4F-B7F2-B12E-D290-B33907405E50}"/>
                </a:ext>
              </a:extLst>
            </xdr14:cNvPr>
            <xdr14:cNvContentPartPr/>
          </xdr14:nvContentPartPr>
          <xdr14:nvPr macro=""/>
          <xdr14:xfrm>
            <a:off x="10407960" y="1031400"/>
            <a:ext cx="36720" cy="10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74C40D4F-B7F2-B12E-D290-B33907405E5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0401779" y="1025280"/>
              <a:ext cx="49081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197160</xdr:colOff>
      <xdr:row>5</xdr:row>
      <xdr:rowOff>97259</xdr:rowOff>
    </xdr:from>
    <xdr:to>
      <xdr:col>10</xdr:col>
      <xdr:colOff>197520</xdr:colOff>
      <xdr:row>5</xdr:row>
      <xdr:rowOff>97619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6F2B8A10-EE99-2146-8DD8-195F8EDD37F3}"/>
                </a:ext>
              </a:extLst>
            </xdr14:cNvPr>
            <xdr14:cNvContentPartPr/>
          </xdr14:nvContentPartPr>
          <xdr14:nvPr macro=""/>
          <xdr14:xfrm>
            <a:off x="9714600" y="1027080"/>
            <a:ext cx="360" cy="3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F2B8A10-EE99-2146-8DD8-195F8EDD37F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708480" y="1020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476519</xdr:colOff>
      <xdr:row>7</xdr:row>
      <xdr:rowOff>309686</xdr:rowOff>
    </xdr:from>
    <xdr:to>
      <xdr:col>10</xdr:col>
      <xdr:colOff>517919</xdr:colOff>
      <xdr:row>7</xdr:row>
      <xdr:rowOff>319046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6DCDEDE5-4D2A-78DF-4399-350E5B0B471A}"/>
                </a:ext>
              </a:extLst>
            </xdr14:cNvPr>
            <xdr14:cNvContentPartPr/>
          </xdr14:nvContentPartPr>
          <xdr14:nvPr macro=""/>
          <xdr14:xfrm>
            <a:off x="9993959" y="1670400"/>
            <a:ext cx="41400" cy="9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DCDEDE5-4D2A-78DF-4399-350E5B0B471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9987839" y="1664280"/>
              <a:ext cx="53640" cy="21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894080</xdr:colOff>
      <xdr:row>1</xdr:row>
      <xdr:rowOff>246380</xdr:rowOff>
    </xdr:from>
    <xdr:to>
      <xdr:col>11</xdr:col>
      <xdr:colOff>18230</xdr:colOff>
      <xdr:row>3</xdr:row>
      <xdr:rowOff>53601</xdr:rowOff>
    </xdr:to>
    <xdr:sp macro="[0]!btn_Comprar" textlink="">
      <xdr:nvSpPr>
        <xdr:cNvPr id="2" name="Rectangle 1">
          <a:extLst>
            <a:ext uri="{FF2B5EF4-FFF2-40B4-BE49-F238E27FC236}">
              <a16:creationId xmlns:a16="http://schemas.microsoft.com/office/drawing/2014/main" id="{C866EC94-7288-4E76-B3EA-38C02792FDAD}"/>
            </a:ext>
          </a:extLst>
        </xdr:cNvPr>
        <xdr:cNvSpPr/>
      </xdr:nvSpPr>
      <xdr:spPr>
        <a:xfrm>
          <a:off x="5772150" y="361950"/>
          <a:ext cx="1730190" cy="336176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/>
              </a:solidFill>
            </a:rPr>
            <a:t>Comprar</a:t>
          </a:r>
          <a:endParaRPr lang="pt-PT" sz="1100" baseline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3</xdr:col>
      <xdr:colOff>42150</xdr:colOff>
      <xdr:row>10</xdr:row>
      <xdr:rowOff>241560</xdr:rowOff>
    </xdr:from>
    <xdr:to>
      <xdr:col>3</xdr:col>
      <xdr:colOff>59070</xdr:colOff>
      <xdr:row>10</xdr:row>
      <xdr:rowOff>257040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E3073FF3-1593-6DAD-D5B4-913BDAC2D964}"/>
                </a:ext>
              </a:extLst>
            </xdr14:cNvPr>
            <xdr14:cNvContentPartPr/>
          </xdr14:nvContentPartPr>
          <xdr14:nvPr macro=""/>
          <xdr14:xfrm>
            <a:off x="1204200" y="2756160"/>
            <a:ext cx="16920" cy="154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E3073FF3-1593-6DAD-D5B4-913BDAC2D96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198080" y="2750040"/>
              <a:ext cx="2916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53310</xdr:colOff>
      <xdr:row>3</xdr:row>
      <xdr:rowOff>97860</xdr:rowOff>
    </xdr:from>
    <xdr:to>
      <xdr:col>3</xdr:col>
      <xdr:colOff>212790</xdr:colOff>
      <xdr:row>3</xdr:row>
      <xdr:rowOff>211260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90F2D027-4200-8E2B-1569-63F32A8ED1FD}"/>
                </a:ext>
              </a:extLst>
            </xdr14:cNvPr>
            <xdr14:cNvContentPartPr/>
          </xdr14:nvContentPartPr>
          <xdr14:nvPr macro=""/>
          <xdr14:xfrm>
            <a:off x="1215360" y="745560"/>
            <a:ext cx="159480" cy="11340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90F2D027-4200-8E2B-1569-63F32A8ED1F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209240" y="739440"/>
              <a:ext cx="171720" cy="12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83500</xdr:colOff>
      <xdr:row>7</xdr:row>
      <xdr:rowOff>214020</xdr:rowOff>
    </xdr:from>
    <xdr:to>
      <xdr:col>5</xdr:col>
      <xdr:colOff>89260</xdr:colOff>
      <xdr:row>7</xdr:row>
      <xdr:rowOff>231660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102ABF3B-5C9D-04CB-44E5-0C4E07A9F38C}"/>
                </a:ext>
              </a:extLst>
            </xdr14:cNvPr>
            <xdr14:cNvContentPartPr/>
          </xdr14:nvContentPartPr>
          <xdr14:nvPr macro=""/>
          <xdr14:xfrm>
            <a:off x="4338000" y="1928520"/>
            <a:ext cx="5760" cy="176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102ABF3B-5C9D-04CB-44E5-0C4E07A9F38C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331880" y="1922400"/>
              <a:ext cx="18000" cy="29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2</xdr:row>
      <xdr:rowOff>180975</xdr:rowOff>
    </xdr:from>
    <xdr:to>
      <xdr:col>9</xdr:col>
      <xdr:colOff>257175</xdr:colOff>
      <xdr:row>3</xdr:row>
      <xdr:rowOff>247650</xdr:rowOff>
    </xdr:to>
    <xdr:sp macro="[0]!OpenHiperlynks" textlink="">
      <xdr:nvSpPr>
        <xdr:cNvPr id="3" name="Rectangle 2">
          <a:extLst>
            <a:ext uri="{FF2B5EF4-FFF2-40B4-BE49-F238E27FC236}">
              <a16:creationId xmlns:a16="http://schemas.microsoft.com/office/drawing/2014/main" id="{80E77AB8-560B-4612-4B32-C8A804ACDA8C}"/>
            </a:ext>
          </a:extLst>
        </xdr:cNvPr>
        <xdr:cNvSpPr/>
      </xdr:nvSpPr>
      <xdr:spPr>
        <a:xfrm>
          <a:off x="5438775" y="561975"/>
          <a:ext cx="122872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/>
            <a:t>Open all links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18T11:28:20.25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91 20 17303,'0'0'0,"-25"-16"112,10 13 8,0 7-1823,-3 0 7,0 2-8008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18T11:29:31.25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130 94 18647,'0'0'0,"11"-26"624,-9 18 8,0 4-48,-20 4-1712,-6 0 0,-8 0-4615,-4-29-1,2 2 2600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18T11:29:32.10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63 29 15240,'-11'-3'0,"-10"2"-456,6-2 8,0 2-9712</inkml:trace>
  <inkml:trace contextRef="#ctx0" brushRef="#br0" timeOffset="1431.39">101 1 19447,'0'0'2664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18T11:29:39.22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18823,'0'0'1896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18T11:30:23.073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114 25 17839,'0'-10'0,"0"-2"72,-19 9 8,-14 9-1528,2-9 1,0 0-9033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18T11:31:14.74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26 43 18551,'0'0'0,"21"-10"0,-30 3-1872,-10-6 1,1 1-8289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18T11:31:21.49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442 214 15416,'0'0'-11088</inkml:trace>
  <inkml:trace contextRef="#ctx0" brushRef="#br0" timeOffset="2020.59">302 314 19807,'0'0'6652</inkml:trace>
  <inkml:trace contextRef="#ctx0" brushRef="#br0" timeOffset="3771.42">3 11 18103,'-2'-11'1083,"2"13"31,0 24 1011,0-4-865,6-14-8043,-4-7 4854,5 9-7540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18T11:31:36.864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48 20527,'14'-44'3510,"-13"41"-2197,-2 5-142,-6 22 108,4-17-383,1-2-1769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505ECA-1558-4944-ADEC-CA52C17D4CC5}" name="tSemanal" displayName="tSemanal" ref="C4:F56" totalsRowShown="0" headerRowDxfId="128" dataDxfId="127">
  <sortState xmlns:xlrd2="http://schemas.microsoft.com/office/spreadsheetml/2017/richdata2" ref="C5:F54">
    <sortCondition ref="D5:D54"/>
  </sortState>
  <tableColumns count="4">
    <tableColumn id="1" xr3:uid="{05292D30-C26F-442E-8401-14325E580AB8}" name="Q" dataDxfId="126"/>
    <tableColumn id="2" xr3:uid="{6B0BBF9F-9D19-4A28-A27B-2B53182FD276}" name="Produto" dataDxfId="125"/>
    <tableColumn id="3" xr3:uid="{67816038-5AB5-4F1F-A0DD-16FC1F492CD0}" name="Arrumo" dataDxfId="124">
      <calculatedColumnFormula array="1">_xlfn._xlws.FILTER(tIngredientes[Arrumo],tIngredientes[Mantimento]=tSemanal[[#This Row],[Produto]],"NOVO")</calculatedColumnFormula>
    </tableColumn>
    <tableColumn id="4" xr3:uid="{13631C09-E67F-401D-BC7F-B6E69C41B7C4}" name="Somar a quantidade à lista das receitas" dataDxfId="12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18302D-4F84-45AD-B5E8-49E4305E5DA9}" name="tReceitas" displayName="tReceitas" ref="A1:K44" totalsRowShown="0" headerRowDxfId="122" dataDxfId="121">
  <autoFilter ref="A1:K44" xr:uid="{AD18302D-4F84-45AD-B5E8-49E4305E5DA9}"/>
  <sortState xmlns:xlrd2="http://schemas.microsoft.com/office/spreadsheetml/2017/richdata2" ref="A2:K44">
    <sortCondition ref="C1:C44"/>
  </sortState>
  <tableColumns count="11">
    <tableColumn id="1" xr3:uid="{4D11F4A0-CE92-4D7E-BCE5-3257D9DCAC14}" name="Última data" dataDxfId="120"/>
    <tableColumn id="2" xr3:uid="{3F921C2D-14C9-444C-958C-9D99B732230C}" name="Próxima data" dataDxfId="119">
      <calculatedColumnFormula>A2+E2+$L$1</calculatedColumnFormula>
    </tableColumn>
    <tableColumn id="3" xr3:uid="{60F4B44C-3C6D-4B5A-9D80-ACA8D141D65E}" name="Real" dataDxfId="118"/>
    <tableColumn id="4" xr3:uid="{FAD847D8-327E-440D-8FAF-7519B4062687}" name="Order" dataDxfId="117"/>
    <tableColumn id="5" xr3:uid="{A31CF4CE-1D69-48D5-BA0C-7D65DF46DB68}" name="Recorrencia" dataDxfId="116"/>
    <tableColumn id="6" xr3:uid="{F92E9A84-7640-4A97-895D-555C4B30C5A2}" name="Refeição" dataDxfId="115"/>
    <tableColumn id="7" xr3:uid="{EFCE1F54-201D-4C41-B376-90105F667B7B}" name="Proteina" dataDxfId="114"/>
    <tableColumn id="8" xr3:uid="{C6869C47-7D25-455F-8941-5061CE1E6AA1}" name="Acompanha" dataDxfId="113"/>
    <tableColumn id="9" xr3:uid="{338691EF-DB04-4F2B-84AD-3AF76FCE6D45}" name="Outros" dataDxfId="112"/>
    <tableColumn id="11" xr3:uid="{64F29DB6-9577-441A-AC4B-989565C2419F}" name="Grupo" dataDxfId="111"/>
    <tableColumn id="10" xr3:uid="{2C6E2C32-612D-4A21-AC97-23943B8836EF}" name="Repete" dataDxfId="110">
      <calculatedColumnFormula array="1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41B86F-F18E-46ED-AFFA-14F19708BFDD}" name="tIngredientes" displayName="tIngredientes" ref="A1:N151" totalsRowShown="0" headerRowDxfId="109" dataDxfId="108">
  <autoFilter ref="A1:N151" xr:uid="{9341B86F-F18E-46ED-AFFA-14F19708BFDD}"/>
  <sortState xmlns:xlrd2="http://schemas.microsoft.com/office/spreadsheetml/2017/richdata2" ref="A2:L151">
    <sortCondition ref="B1:B151"/>
  </sortState>
  <tableColumns count="14">
    <tableColumn id="11" xr3:uid="{34639A4B-4067-4816-A30C-4EB58D82A930}" name="A comprar" dataDxfId="107">
      <calculatedColumnFormula>IF(SUM(H2,J2:L2)=0,"",IF(ISNUMBER(SEARCH("E",E2)),tIngredientes[[#This Row],[Manter stock]]+tIngredientes[[#This Row],[Adicionar stock à lista das receitas]]*(J2+IFERROR(_xlfn.CEILING.MATH(K2/F2)+_xlfn.CEILING.MATH(L2/F2),0)),IF(E2="U",tIngredientes[[#This Row],[Manter stock]]+_xlfn.CEILING.MATH(tIngredientes[[#This Row],[Adicionar stock à lista das receitas]]*K2),IF(E2="M",tIngredientes[[#This Row],[Manter stock]]+tIngredientes[[#This Row],[Adicionar stock à lista das receitas]]*L2&amp;G2,"ERRO"))))</calculatedColumnFormula>
    </tableColumn>
    <tableColumn id="1" xr3:uid="{AA120C52-DCB6-4E18-87B7-46674C846F64}" name="Mantimento" dataDxfId="106"/>
    <tableColumn id="2" xr3:uid="{DDE053BA-50BE-485A-AC76-A9D5046AD838}" name="Arrumo" dataDxfId="105"/>
    <tableColumn id="12" xr3:uid="{8CD02479-60E1-42FB-9C96-8D253F79D8B5}" name="Loja" dataDxfId="104"/>
    <tableColumn id="3" xr3:uid="{1915DBD9-7640-4660-81AB-78E2C2687C29}" name="Vendido à" dataDxfId="103"/>
    <tableColumn id="4" xr3:uid="{F6FCD614-DA79-4709-88E4-DBF90B543DE4}" name="Quantidade" dataDxfId="102"/>
    <tableColumn id="5" xr3:uid="{7389741E-B68F-4FA7-9B26-282053E0E0C0}" name="Unidade" dataDxfId="101"/>
    <tableColumn id="6" xr3:uid="{D545376A-F803-4E47-A3EE-B807DFF27054}" name="Manter stock" dataDxfId="100">
      <calculatedColumnFormula array="1">_xlfn._xlws.FILTER(tSemanal[Q],tSemanal[Produto]=tIngredientes[[#This Row],[Mantimento]],0)</calculatedColumnFormula>
    </tableColumn>
    <tableColumn id="7" xr3:uid="{B67934AC-C702-44E0-88F7-72F3F17047C4}" name="Adicionar stock à lista das receitas" dataDxfId="99">
      <calculatedColumnFormula array="1">IF(tIngredientes[[#This Row],[Manter stock]]=0,1,IF(_xlfn._xlws.FILTER(tSemanal[Somar a quantidade à lista das receitas],tSemanal[Produto]=tIngredientes[[#This Row],[Mantimento]],"")="X",1,0))</calculatedColumnFormula>
    </tableColumn>
    <tableColumn id="8" xr3:uid="{6E957CB7-61BD-4763-868B-97B1D5F9FEB4}" name="Por embalagem" dataDxfId="98">
      <calculatedColumnFormula>SUMIFS(tPorReceita[Quantidade],tPorReceita[Mantimento],"="&amp;tIngredientes[[#This Row],[Mantimento]],tPorReceita[Data],"&gt;="&amp;iPeriodoDeRefeições,tPorReceita[Data],"&lt;="&amp;fPeriodoDeRefeições,tPorReceita[Medida],"=emb")</calculatedColumnFormula>
    </tableColumn>
    <tableColumn id="9" xr3:uid="{D7A29360-9755-4F42-93D4-79E1FA94CF99}" name="Por unidade" dataDxfId="97">
      <calculatedColumnFormula>SUMIFS(tPorReceita[Quantidade],tPorReceita[Mantimento],"="&amp;tIngredientes[[#This Row],[Mantimento]],tPorReceita[Data],"&gt;="&amp;iPeriodoDeRefeições,tPorReceita[Data],"&lt;="&amp;fPeriodoDeRefeições,tPorReceita[Medida],"=un")</calculatedColumnFormula>
    </tableColumn>
    <tableColumn id="10" xr3:uid="{00CBFE25-E9DB-413D-96A0-0B501E902E2A}" name="Por medida" dataDxfId="96">
      <calculatedColumnFormula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calculatedColumnFormula>
    </tableColumn>
    <tableColumn id="14" xr3:uid="{A69A23E4-A8DD-40F0-A770-8F5C881300AF}" name="Categoria - OnLine" dataDxfId="95"/>
    <tableColumn id="13" xr3:uid="{C4042984-4FF1-44E2-9777-53E0D57F0475}" name="Categoria - Siga" dataDxfId="9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BBBE37-8011-4568-872F-D7DB3E46CCF8}" name="tPorReceita" displayName="tPorReceita" ref="A1:E483" totalsRowShown="0" headerRowDxfId="93" dataDxfId="92">
  <autoFilter ref="A1:E483" xr:uid="{E0BBBE37-8011-4568-872F-D7DB3E46CCF8}"/>
  <sortState xmlns:xlrd2="http://schemas.microsoft.com/office/spreadsheetml/2017/richdata2" ref="A2:E462">
    <sortCondition ref="A1:A462"/>
  </sortState>
  <tableColumns count="5">
    <tableColumn id="1" xr3:uid="{A3BE4A8B-FECE-4D3F-9243-E7809EF02AA2}" name="Receita" dataDxfId="91"/>
    <tableColumn id="2" xr3:uid="{4C81512B-4029-481E-959B-02A84030CAEE}" name="Quantidade" dataDxfId="90"/>
    <tableColumn id="3" xr3:uid="{F9F5BF6E-413C-462D-9AAF-42BC2B6645B5}" name="Medida" dataDxfId="89"/>
    <tableColumn id="4" xr3:uid="{6F2F8F90-34A4-4854-B467-F1A13F19BA21}" name="Mantimento" dataDxfId="88"/>
    <tableColumn id="5" xr3:uid="{AC31B8D6-C5C5-48C7-8713-A4BF81D4C9B3}" name="Data" dataDxfId="87">
      <calculatedColumnFormula>_xlfn.IFNA(INDEX(Receitas!C:C,MATCH(A2,Receitas!F:F,0)),"")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ontinente.pt/Congelados/Batatas-Congeladas/?start=0&amp;srule=price-per-capacity&amp;pmin=0.01" TargetMode="External"/><Relationship Id="rId18" Type="http://schemas.openxmlformats.org/officeDocument/2006/relationships/hyperlink" Target="https://www.continente.pt/Frutas-e-Legumes/Frutas/Laranja-Clementina-e-Limao/?start=0&amp;srule=price-per-capacity&amp;pmin=0.01" TargetMode="External"/><Relationship Id="rId26" Type="http://schemas.openxmlformats.org/officeDocument/2006/relationships/hyperlink" Target="https://www.continente.pt/Laticinios-e-Ovos/Manteigas-e-Cremes-para-Barrar/Cremes-para-Barrar/?start=0&amp;srule=price-per-capacity&amp;pmin=0.01" TargetMode="External"/><Relationship Id="rId39" Type="http://schemas.openxmlformats.org/officeDocument/2006/relationships/hyperlink" Target="https://www.continente.pt/Mercearia/Azeite-Oleo-e-Vinagre/Azeite/?start=0&amp;srule=price-per-capacity&amp;pmin=0.01" TargetMode="External"/><Relationship Id="rId21" Type="http://schemas.openxmlformats.org/officeDocument/2006/relationships/hyperlink" Target="https://www.continente.pt/Frutas-e-Legumes/Legumes/Cenoura-Abobora-e-Beterraba/?start=0&amp;srule=price-per-capacity&amp;pmin=0.01" TargetMode="External"/><Relationship Id="rId34" Type="http://schemas.openxmlformats.org/officeDocument/2006/relationships/hyperlink" Target="https://www.continente.pt/Mercearia/Alimentacao-Infantil/Papas-Infantis/?start=0&amp;srule=price-per-capacity&amp;pmin=0.01" TargetMode="External"/><Relationship Id="rId42" Type="http://schemas.openxmlformats.org/officeDocument/2006/relationships/hyperlink" Target="https://www.continente.pt/Mercearia/Conservas/Cogumelos-Milho-Ervilhas/?start=0&amp;srule=price-per-capacity&amp;pmin=0.01" TargetMode="External"/><Relationship Id="rId47" Type="http://schemas.openxmlformats.org/officeDocument/2006/relationships/hyperlink" Target="https://www.continente.pt/Mercearia/Molhos-Temperos-e-Sal/Especiarias-e-Ervas-Aromaticas/?start=0&amp;srule=price-per-capacity&amp;pmin=0.01" TargetMode="External"/><Relationship Id="rId50" Type="http://schemas.openxmlformats.org/officeDocument/2006/relationships/hyperlink" Target="https://www.continente.pt/Mercearia/Molhos-Temperos-e-Sal/Sal/?start=0&amp;srule=price-per-capacity&amp;pmin=0.01" TargetMode="External"/><Relationship Id="rId55" Type="http://schemas.openxmlformats.org/officeDocument/2006/relationships/hyperlink" Target="https://www.continente.pt/Peixaria-e-Talho/Talho/Pato-e-Coelho/?start=0&amp;srule=price-per-capacity&amp;pmin=0.01" TargetMode="External"/><Relationship Id="rId7" Type="http://schemas.openxmlformats.org/officeDocument/2006/relationships/hyperlink" Target="https://www.continente.pt/Beleza-e-Higiene/Papel-Higienico-e-Lencos/Papel-Higienico-3-4-e-5-Folhas/?start=0&amp;srule=price-per-capacity&amp;pmin=0.01" TargetMode="External"/><Relationship Id="rId2" Type="http://schemas.openxmlformats.org/officeDocument/2006/relationships/hyperlink" Target="https://www.continente.pt/Bebidas-e-Garrafeira/Sumos-e-Refrigerantes/Nectares/?start=0&amp;srule=price-per-capacity&amp;pmin=0.01" TargetMode="External"/><Relationship Id="rId16" Type="http://schemas.openxmlformats.org/officeDocument/2006/relationships/hyperlink" Target="https://www.continente.pt/Frutas-e-Legumes/Ervas-Aromaticas-e-Especiarias/?start=0&amp;srule=price-per-capacity&amp;pmin=0.01" TargetMode="External"/><Relationship Id="rId29" Type="http://schemas.openxmlformats.org/officeDocument/2006/relationships/hyperlink" Target="https://www.continente.pt/Laticinios-e-Ovos/Ovos/?start=0&amp;srule=price-per-capacity&amp;pmin=0.01" TargetMode="External"/><Relationship Id="rId11" Type="http://schemas.openxmlformats.org/officeDocument/2006/relationships/hyperlink" Target="https://www.continente.pt/Charcutaria-e-Queijos/Queijos/Fatiado-e-Bolas/?start=0&amp;srule=price-per-capacity&amp;pmin=0.01" TargetMode="External"/><Relationship Id="rId24" Type="http://schemas.openxmlformats.org/officeDocument/2006/relationships/hyperlink" Target="https://www.continente.pt/Laticinios-e-Ovos/Iogurtes/Iogurtes-Liquidos/?start=0&amp;srule=price-per-capacity&amp;pmin=0.01" TargetMode="External"/><Relationship Id="rId32" Type="http://schemas.openxmlformats.org/officeDocument/2006/relationships/hyperlink" Target="https://www.continente.pt/Limpeza/Sacos-e-Baldes-do-Lixo/Sacos-do-Lixo/?start=0&amp;srule=price-per-capacity&amp;pmin=0.01" TargetMode="External"/><Relationship Id="rId37" Type="http://schemas.openxmlformats.org/officeDocument/2006/relationships/hyperlink" Target="https://www.continente.pt/Mercearia/Arroz-Massa-e-Farinha/Farinha-e-Pao-Ralado/?start=0&amp;srule=price-per-capacity&amp;pmin=0.01" TargetMode="External"/><Relationship Id="rId40" Type="http://schemas.openxmlformats.org/officeDocument/2006/relationships/hyperlink" Target="https://www.continente.pt/Mercearia/Bolachas-Biscoitos-e-Tostas/?start=0&amp;srule=price-per-capacity&amp;pmin=0.01" TargetMode="External"/><Relationship Id="rId45" Type="http://schemas.openxmlformats.org/officeDocument/2006/relationships/hyperlink" Target="https://www.continente.pt/Mercearia/Conservas/Tomate-Polpa-Pelado-e-Seco/?start=0&amp;srule=price-per-capacity&amp;pmin=0.01" TargetMode="External"/><Relationship Id="rId53" Type="http://schemas.openxmlformats.org/officeDocument/2006/relationships/hyperlink" Target="https://www.continente.pt/Peixaria-e-Talho/Talho/Frango-e-Peru/?start=0&amp;srule=price-per-capacity&amp;pmin=0.01" TargetMode="External"/><Relationship Id="rId58" Type="http://schemas.openxmlformats.org/officeDocument/2006/relationships/drawing" Target="../drawings/drawing3.xml"/><Relationship Id="rId5" Type="http://schemas.openxmlformats.org/officeDocument/2006/relationships/hyperlink" Target="https://www.continente.pt/Bebidas-e-Garrafeira/Vinhos/Vinho-Tinto/?start=0&amp;srule=price-per-capacity&amp;pmin=0.01" TargetMode="External"/><Relationship Id="rId19" Type="http://schemas.openxmlformats.org/officeDocument/2006/relationships/hyperlink" Target="https://www.continente.pt/Frutas-e-Legumes/Legumes/Batata-Batata-Doce-e-Mandioca/?start=0&amp;srule=price-per-capacity&amp;pmin=0.01" TargetMode="External"/><Relationship Id="rId4" Type="http://schemas.openxmlformats.org/officeDocument/2006/relationships/hyperlink" Target="https://www.continente.pt/Bebidas-e-Garrafeira/Vinhos/Vinho-Branco/?start=0&amp;srule=price-per-capacity&amp;pmin=0.01" TargetMode="External"/><Relationship Id="rId9" Type="http://schemas.openxmlformats.org/officeDocument/2006/relationships/hyperlink" Target="https://www.continente.pt/Charcutaria-e-Queijos/Charcutaria/Chourico-e-Morcela/?start=0&amp;srule=price-per-capacity&amp;pmin=0.01" TargetMode="External"/><Relationship Id="rId14" Type="http://schemas.openxmlformats.org/officeDocument/2006/relationships/hyperlink" Target="https://www.continente.pt/Congelados/Frutas-e-Legumes/Legumes-Congelados/?start=0&amp;srule=price-per-capacity&amp;pmin=0.01" TargetMode="External"/><Relationship Id="rId22" Type="http://schemas.openxmlformats.org/officeDocument/2006/relationships/hyperlink" Target="https://www.continente.pt/Frutas-e-Legumes/Legumes/Couves-Brocolos-e-Espinafres/?start=0&amp;srule=price-per-capacity&amp;pmin=0.01" TargetMode="External"/><Relationship Id="rId27" Type="http://schemas.openxmlformats.org/officeDocument/2006/relationships/hyperlink" Target="https://www.continente.pt/Laticinios-e-Ovos/Manteigas-e-Cremes-para-Barrar/Manteigas/?start=0&amp;srule=price-per-capacity&amp;pmin=0.01" TargetMode="External"/><Relationship Id="rId30" Type="http://schemas.openxmlformats.org/officeDocument/2006/relationships/hyperlink" Target="https://www.continente.pt/Limpeza/Guardanapos-Rolos-e-Peliculas/Guardanapos/?start=0&amp;srule=price-per-capacity&amp;pmin=0.01" TargetMode="External"/><Relationship Id="rId35" Type="http://schemas.openxmlformats.org/officeDocument/2006/relationships/hyperlink" Target="https://www.continente.pt/Mercearia/Arroz-Massa-e-Farinha/Arroz/?start=0&amp;srule=price-per-capacity&amp;pmin=0.01" TargetMode="External"/><Relationship Id="rId43" Type="http://schemas.openxmlformats.org/officeDocument/2006/relationships/hyperlink" Target="https://www.continente.pt/Mercearia/Conservas/Feijao-e-Grao-de-Bico/?start=0&amp;srule=price-per-capacity&amp;pmin=0.01" TargetMode="External"/><Relationship Id="rId48" Type="http://schemas.openxmlformats.org/officeDocument/2006/relationships/hyperlink" Target="https://www.continente.pt/Mercearia/Molhos-Temperos-e-Sal/Maionese-Ketchup-e-Mostarda/?start=0&amp;srule=price-per-capacity&amp;pmin=0.01" TargetMode="External"/><Relationship Id="rId56" Type="http://schemas.openxmlformats.org/officeDocument/2006/relationships/hyperlink" Target="https://www.continente.pt/Peixaria-e-Talho/Talho/Porco/?start=0&amp;srule=price-per-capacity&amp;pmin=0.01" TargetMode="External"/><Relationship Id="rId8" Type="http://schemas.openxmlformats.org/officeDocument/2006/relationships/hyperlink" Target="https://www.continente.pt/Charcutaria-e-Queijos/Charcutaria/Bacon-e-Fumados/?start=0&amp;srule=price-per-capacity&amp;pmin=0.01" TargetMode="External"/><Relationship Id="rId51" Type="http://schemas.openxmlformats.org/officeDocument/2006/relationships/hyperlink" Target="https://www.continente.pt/Mercearia/Sopas-e-Refeicoes/Refeicoes/?start=0&amp;srule=price-per-capacity&amp;pmin=0.01" TargetMode="External"/><Relationship Id="rId3" Type="http://schemas.openxmlformats.org/officeDocument/2006/relationships/hyperlink" Target="https://www.continente.pt/Bebidas-e-Garrafeira/Sumos-e-Refrigerantes/Sumos-de-Fruta/?start=0&amp;srule=price-per-capacity&amp;pmin=0.01" TargetMode="External"/><Relationship Id="rId12" Type="http://schemas.openxmlformats.org/officeDocument/2006/relationships/hyperlink" Target="https://www.continente.pt/Charcutaria-e-Queijos/Queijos/Queijos-do-Mundo/?start=0&amp;srule=price-per-capacity&amp;pmin=0.01" TargetMode="External"/><Relationship Id="rId17" Type="http://schemas.openxmlformats.org/officeDocument/2006/relationships/hyperlink" Target="https://www.continente.pt/Frutas-e-Legumes/Frutas/Banana-Maca-e-Pera/?start=0&amp;srule=price-per-capacity&amp;pmin=0.01" TargetMode="External"/><Relationship Id="rId25" Type="http://schemas.openxmlformats.org/officeDocument/2006/relationships/hyperlink" Target="https://www.continente.pt/Laticinios-e-Ovos/Leite/Leite-Meio-Gordo/?start=0&amp;srule=price-per-capacity&amp;pmin=0.01" TargetMode="External"/><Relationship Id="rId33" Type="http://schemas.openxmlformats.org/officeDocument/2006/relationships/hyperlink" Target="https://www.continente.pt/Mercearia/Acucar-e-Sobremesas/Acucar-e-Adocante/?start=0&amp;srule=price-per-capacity&amp;pmin=0.01" TargetMode="External"/><Relationship Id="rId38" Type="http://schemas.openxmlformats.org/officeDocument/2006/relationships/hyperlink" Target="https://www.continente.pt/Mercearia/Arroz-Massa-e-Farinha/Massa/?start=0&amp;srule=price-per-capacity&amp;pmin=0.01" TargetMode="External"/><Relationship Id="rId46" Type="http://schemas.openxmlformats.org/officeDocument/2006/relationships/hyperlink" Target="https://www.continente.pt/Mercearia/Molhos-Temperos-e-Sal/Caldos/?start=0&amp;srule=price-per-capacity&amp;pmin=0.01" TargetMode="External"/><Relationship Id="rId20" Type="http://schemas.openxmlformats.org/officeDocument/2006/relationships/hyperlink" Target="https://www.continente.pt/Frutas-e-Legumes/Legumes/Cebola-Alho-e-Nabo/?start=0&amp;srule=price-per-capacity&amp;pmin=0.01" TargetMode="External"/><Relationship Id="rId41" Type="http://schemas.openxmlformats.org/officeDocument/2006/relationships/hyperlink" Target="https://www.continente.pt/Mercearia/Conservas/Atum/?start=0&amp;srule=price-per-capacity&amp;pmin=0.01" TargetMode="External"/><Relationship Id="rId54" Type="http://schemas.openxmlformats.org/officeDocument/2006/relationships/hyperlink" Target="https://www.continente.pt/Peixaria-e-Talho/Talho/Novilho-Vitela-e-Vitelao/?start=0&amp;srule=price-per-capacity&amp;pmin=0.01" TargetMode="External"/><Relationship Id="rId1" Type="http://schemas.openxmlformats.org/officeDocument/2006/relationships/hyperlink" Target="https://www.continente.pt/Animais/Gato/Absorventes/?start=0&amp;srule=price-per-capacity&amp;pmin=0.01" TargetMode="External"/><Relationship Id="rId6" Type="http://schemas.openxmlformats.org/officeDocument/2006/relationships/hyperlink" Target="https://www.continente.pt/Beleza-e-Higiene/Homem/Desodorizantes/?start=0&amp;srule=price-per-capacity&amp;pmin=0.01" TargetMode="External"/><Relationship Id="rId15" Type="http://schemas.openxmlformats.org/officeDocument/2006/relationships/hyperlink" Target="https://www.continente.pt/Congelados/Frutas-e-Legumes/Misturas-de-Legumes-Congelados/?start=0&amp;srule=price-per-capacity&amp;pmin=0.01" TargetMode="External"/><Relationship Id="rId23" Type="http://schemas.openxmlformats.org/officeDocument/2006/relationships/hyperlink" Target="https://www.continente.pt/Laticinios-e-Ovos/Iogurtes/Iogurtes-Gregos/?start=0&amp;srule=price-per-capacity&amp;pmin=0.01" TargetMode="External"/><Relationship Id="rId28" Type="http://schemas.openxmlformats.org/officeDocument/2006/relationships/hyperlink" Target="https://www.continente.pt/Laticinios-e-Ovos/Natas-e-Bechamel/Natas-para-Bater-e-Chantilly/?start=0&amp;srule=price-per-capacity&amp;pmin=0.01" TargetMode="External"/><Relationship Id="rId36" Type="http://schemas.openxmlformats.org/officeDocument/2006/relationships/hyperlink" Target="https://www.continente.pt/Mercearia/Arroz-Massa-e-Farinha/Couscous-Quinoa-Bulgur-e-Outros/?start=0&amp;srule=price-per-capacity&amp;pmin=0.01" TargetMode="External"/><Relationship Id="rId49" Type="http://schemas.openxmlformats.org/officeDocument/2006/relationships/hyperlink" Target="https://www.continente.pt/Mercearia/Molhos-Temperos-e-Sal/Molhos/?start=0&amp;srule=price-per-capacity&amp;pmin=0.01" TargetMode="External"/><Relationship Id="rId57" Type="http://schemas.openxmlformats.org/officeDocument/2006/relationships/printerSettings" Target="../printerSettings/printerSettings3.bin"/><Relationship Id="rId10" Type="http://schemas.openxmlformats.org/officeDocument/2006/relationships/hyperlink" Target="https://www.continente.pt/Charcutaria-e-Queijos/Charcutaria/Fiambre-Mortadela-e-Salame/?start=0&amp;srule=price-per-capacity&amp;pmin=0.01" TargetMode="External"/><Relationship Id="rId31" Type="http://schemas.openxmlformats.org/officeDocument/2006/relationships/hyperlink" Target="https://www.continente.pt/Limpeza/Guardanapos-Rolos-e-Peliculas/Rolos-de-Cozinha/?start=0&amp;srule=price-per-capacity&amp;pmin=0.01" TargetMode="External"/><Relationship Id="rId44" Type="http://schemas.openxmlformats.org/officeDocument/2006/relationships/hyperlink" Target="https://www.continente.pt/Mercearia/Conservas/Salsichas/?start=0&amp;srule=price-per-capacity&amp;pmin=0.01" TargetMode="External"/><Relationship Id="rId52" Type="http://schemas.openxmlformats.org/officeDocument/2006/relationships/hyperlink" Target="https://www.continente.pt/Peixaria-e-Talho/Peixaria/Peixe-Fresco/?start=0&amp;srule=price-per-capacity&amp;pmin=0.0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Calendar">
    <tabColor theme="4" tint="-0.249977111117893"/>
    <pageSetUpPr autoPageBreaks="0" fitToPage="1"/>
  </sheetPr>
  <dimension ref="A2:T54"/>
  <sheetViews>
    <sheetView showGridLines="0" zoomScale="84" zoomScaleNormal="84" workbookViewId="0">
      <selection activeCell="M6" sqref="M6"/>
    </sheetView>
  </sheetViews>
  <sheetFormatPr defaultColWidth="8.7109375" defaultRowHeight="14.25" x14ac:dyDescent="0.2"/>
  <cols>
    <col min="1" max="1" width="2.140625" style="7" customWidth="1"/>
    <col min="2" max="8" width="17.5703125" style="7" customWidth="1"/>
    <col min="9" max="9" width="2.5703125" style="7" customWidth="1"/>
    <col min="10" max="10" width="8.7109375" style="7"/>
    <col min="11" max="11" width="12" style="7" customWidth="1"/>
    <col min="12" max="12" width="2.42578125" style="102" customWidth="1"/>
    <col min="13" max="13" width="12" style="7" customWidth="1"/>
    <col min="14" max="14" width="13.140625" style="9" hidden="1" customWidth="1"/>
    <col min="15" max="15" width="25.140625" style="9" hidden="1" customWidth="1"/>
    <col min="16" max="16384" width="8.7109375" style="7"/>
  </cols>
  <sheetData>
    <row r="2" spans="1:18" ht="15" customHeight="1" x14ac:dyDescent="0.2">
      <c r="B2" s="160">
        <f ca="1">YEAR(TODAY())</f>
        <v>2026</v>
      </c>
      <c r="C2" s="161" t="str">
        <f ca="1">TEXT(TODAY(),"mmmm")</f>
        <v>abril</v>
      </c>
      <c r="D2" s="161"/>
    </row>
    <row r="3" spans="1:18" ht="17.25" customHeight="1" x14ac:dyDescent="0.2">
      <c r="B3" s="160"/>
      <c r="C3" s="161"/>
      <c r="D3" s="161"/>
      <c r="F3" s="101"/>
    </row>
    <row r="4" spans="1:18" ht="9" customHeight="1" x14ac:dyDescent="0.2">
      <c r="A4" s="32"/>
      <c r="B4" s="160"/>
      <c r="C4" s="161"/>
      <c r="D4" s="161"/>
      <c r="E4" s="30"/>
      <c r="F4" s="31"/>
      <c r="G4" s="30"/>
      <c r="H4" s="32"/>
      <c r="N4" s="14">
        <f ca="1">TODAY()</f>
        <v>46133</v>
      </c>
      <c r="O4" s="14">
        <f>K6</f>
        <v>46130</v>
      </c>
    </row>
    <row r="5" spans="1:18" ht="18" customHeight="1" x14ac:dyDescent="0.2">
      <c r="A5" s="9"/>
      <c r="B5" s="38"/>
      <c r="C5" s="113"/>
      <c r="D5" s="113"/>
      <c r="E5" s="39"/>
      <c r="F5" s="40"/>
      <c r="G5" s="39"/>
      <c r="H5" s="43"/>
      <c r="K5" s="114" t="s">
        <v>0</v>
      </c>
      <c r="L5" s="112"/>
      <c r="N5" s="14">
        <f ca="1">N4+1</f>
        <v>46134</v>
      </c>
      <c r="O5" s="14">
        <f>O4+1</f>
        <v>46131</v>
      </c>
    </row>
    <row r="6" spans="1:18" ht="16.5" customHeight="1" x14ac:dyDescent="0.2">
      <c r="B6" s="98" t="s">
        <v>1</v>
      </c>
      <c r="C6" s="103" t="s">
        <v>2</v>
      </c>
      <c r="D6" s="104" t="s">
        <v>3</v>
      </c>
      <c r="E6" s="103" t="s">
        <v>4</v>
      </c>
      <c r="F6" s="104" t="s">
        <v>5</v>
      </c>
      <c r="G6" s="105" t="s">
        <v>6</v>
      </c>
      <c r="H6" s="104" t="s">
        <v>7</v>
      </c>
      <c r="K6" s="121">
        <v>46130</v>
      </c>
      <c r="L6" s="112" t="s">
        <v>8</v>
      </c>
      <c r="M6" s="121">
        <v>46136</v>
      </c>
      <c r="N6" s="14">
        <f ca="1">N5+1</f>
        <v>46135</v>
      </c>
      <c r="O6" s="14">
        <f t="shared" ref="O6:O37" si="0">O5+1</f>
        <v>46132</v>
      </c>
    </row>
    <row r="7" spans="1:18" ht="17.25" customHeight="1" x14ac:dyDescent="0.2">
      <c r="B7" s="106">
        <f t="shared" ref="B7:H7" ca="1" si="1">B11-7</f>
        <v>46125</v>
      </c>
      <c r="C7" s="106">
        <f t="shared" ca="1" si="1"/>
        <v>46126</v>
      </c>
      <c r="D7" s="106">
        <f t="shared" ca="1" si="1"/>
        <v>46127</v>
      </c>
      <c r="E7" s="106">
        <f t="shared" ca="1" si="1"/>
        <v>46128</v>
      </c>
      <c r="F7" s="106">
        <f t="shared" ca="1" si="1"/>
        <v>46129</v>
      </c>
      <c r="G7" s="106">
        <f t="shared" ca="1" si="1"/>
        <v>46130</v>
      </c>
      <c r="H7" s="107">
        <f t="shared" ca="1" si="1"/>
        <v>46131</v>
      </c>
      <c r="N7" s="14">
        <f t="shared" ref="N7:N11" ca="1" si="2">N6+1</f>
        <v>46136</v>
      </c>
      <c r="O7" s="14">
        <f t="shared" si="0"/>
        <v>46133</v>
      </c>
    </row>
    <row r="8" spans="1:18" s="9" customFormat="1" ht="28.5" customHeight="1" x14ac:dyDescent="0.2">
      <c r="B8" s="99" t="str" cm="1">
        <f t="array" aca="1" ref="B8" ca="1">IFERROR(_xlfn._xlws.FILTER(Receitas!$F$2:$F$44,Receitas!$C$2:$C$44=Calendar!B7),IFERROR(_xlfn._xlws.FILTER(Receitas!$F$2:$F$44,Receitas!$A$2:$A$44=Calendar!B7),""))</f>
        <v/>
      </c>
      <c r="C8" s="99" t="str" cm="1">
        <f t="array" aca="1" ref="C8" ca="1">IFERROR(_xlfn._xlws.FILTER(Receitas!$F$2:$F$44,Receitas!$C$2:$C$44=Calendar!C7),IFERROR(_xlfn._xlws.FILTER(Receitas!$F$2:$F$44,Receitas!$A$2:$A$44=Calendar!C7),""))</f>
        <v/>
      </c>
      <c r="D8" s="99" t="str" cm="1">
        <f t="array" aca="1" ref="D8" ca="1">IFERROR(_xlfn._xlws.FILTER(Receitas!$F$2:$F$44,Receitas!$C$2:$C$44=Calendar!D7),IFERROR(_xlfn._xlws.FILTER(Receitas!$F$2:$F$44,Receitas!$A$2:$A$44=Calendar!D7),""))</f>
        <v/>
      </c>
      <c r="E8" s="99" t="str" cm="1">
        <f t="array" aca="1" ref="E8" ca="1">IFERROR(_xlfn._xlws.FILTER(Receitas!$F$2:$F$44,Receitas!$C$2:$C$44=Calendar!E7),IFERROR(_xlfn._xlws.FILTER(Receitas!$F$2:$F$44,Receitas!$A$2:$A$44=Calendar!E7),""))</f>
        <v/>
      </c>
      <c r="F8" s="99" t="str" cm="1">
        <f t="array" aca="1" ref="F8" ca="1">IFERROR(_xlfn._xlws.FILTER(Receitas!$F$2:$F$44,Receitas!$C$2:$C$44=Calendar!F7),IFERROR(_xlfn._xlws.FILTER(Receitas!$F$2:$F$44,Receitas!$A$2:$A$44=Calendar!F7),""))</f>
        <v/>
      </c>
      <c r="G8" s="99" t="str" cm="1">
        <f t="array" aca="1" ref="G8" ca="1">IFERROR(_xlfn._xlws.FILTER(Receitas!$F$2:$F$44,Receitas!$C$2:$C$44=Calendar!G7),IFERROR(_xlfn._xlws.FILTER(Receitas!$F$2:$F$44,Receitas!$A$2:$A$44=Calendar!G7),""))</f>
        <v>Frango de panela</v>
      </c>
      <c r="H8" s="100" t="str" cm="1">
        <f t="array" aca="1" ref="H8" ca="1">IFERROR(_xlfn._xlws.FILTER(Receitas!$F$2:$F$44,Receitas!$C$2:$C$44=Calendar!H7),IFERROR(_xlfn._xlws.FILTER(Receitas!$F$2:$F$44,Receitas!$A$2:$A$44=Calendar!H7),""))</f>
        <v>Peito de frango à la pizza</v>
      </c>
      <c r="L8" s="19"/>
      <c r="N8" s="14">
        <f t="shared" ca="1" si="2"/>
        <v>46137</v>
      </c>
      <c r="O8" s="14">
        <f t="shared" si="0"/>
        <v>46134</v>
      </c>
      <c r="R8" s="9" t="s">
        <v>9</v>
      </c>
    </row>
    <row r="9" spans="1:18" s="9" customFormat="1" ht="29.25" customHeight="1" x14ac:dyDescent="0.2">
      <c r="B9" s="99"/>
      <c r="C9" s="99"/>
      <c r="D9" s="99"/>
      <c r="E9" s="99"/>
      <c r="F9" s="99"/>
      <c r="G9" s="99"/>
      <c r="H9" s="100"/>
      <c r="L9" s="19"/>
      <c r="N9" s="14">
        <f t="shared" ca="1" si="2"/>
        <v>46138</v>
      </c>
      <c r="O9" s="14">
        <f t="shared" si="0"/>
        <v>46135</v>
      </c>
      <c r="R9" s="9" t="s">
        <v>10</v>
      </c>
    </row>
    <row r="10" spans="1:18" ht="3" customHeight="1" x14ac:dyDescent="0.2">
      <c r="B10" s="35"/>
      <c r="C10" s="35"/>
      <c r="D10" s="35"/>
      <c r="E10" s="35"/>
      <c r="F10" s="35"/>
      <c r="G10" s="35"/>
      <c r="H10" s="36"/>
      <c r="N10" s="14">
        <f t="shared" ca="1" si="2"/>
        <v>46139</v>
      </c>
      <c r="O10" s="14">
        <f t="shared" si="0"/>
        <v>46136</v>
      </c>
    </row>
    <row r="11" spans="1:18" ht="17.25" customHeight="1" x14ac:dyDescent="0.2">
      <c r="B11" s="108">
        <f ca="1">IF(WEEKDAY(TODAY(),2)&lt;2,TODAY()-WEEKDAY(TODAY(),2)+1,TODAY()-WEEKDAY(TODAY()-1,2))</f>
        <v>46132</v>
      </c>
      <c r="C11" s="108">
        <f ca="1">IF(WEEKDAY(TODAY(),2)&lt;3,TODAY()-WEEKDAY(TODAY(),2)+2,TODAY()-WEEKDAY(TODAY()-2,2))</f>
        <v>46133</v>
      </c>
      <c r="D11" s="108">
        <f ca="1">IF(WEEKDAY(TODAY(),2)&lt;4,TODAY()-WEEKDAY(TODAY(),2)+3,TODAY()-WEEKDAY(TODAY()-3,2))</f>
        <v>46134</v>
      </c>
      <c r="E11" s="108">
        <f ca="1">IF(WEEKDAY(TODAY(),2)&lt;5,TODAY()-WEEKDAY(TODAY(),2)+4,TODAY()-WEEKDAY(TODAY()-4,2))</f>
        <v>46135</v>
      </c>
      <c r="F11" s="108">
        <f ca="1">IF(WEEKDAY(TODAY(),2)&lt;6,TODAY()-WEEKDAY(TODAY(),2)+5,TODAY()-WEEKDAY(TODAY()-5,2))</f>
        <v>46136</v>
      </c>
      <c r="G11" s="109">
        <f ca="1">IF(WEEKDAY(TODAY(),2)&lt;7,TODAY()-WEEKDAY(TODAY(),2)+6,TODAY()-WEEKDAY(TODAY()-6,2))</f>
        <v>46137</v>
      </c>
      <c r="H11" s="120">
        <f ca="1">IF(WEEKDAY(TODAY(),2)&lt;8,TODAY()-WEEKDAY(TODAY(),2)+7,TODAY()-WEEKDAY(TODAY()-7,2))</f>
        <v>46138</v>
      </c>
      <c r="N11" s="14">
        <f t="shared" ca="1" si="2"/>
        <v>46140</v>
      </c>
      <c r="O11" s="14">
        <f t="shared" si="0"/>
        <v>46137</v>
      </c>
      <c r="R11" s="7" t="s">
        <v>11</v>
      </c>
    </row>
    <row r="12" spans="1:18" s="9" customFormat="1" ht="28.5" customHeight="1" x14ac:dyDescent="0.2">
      <c r="B12" s="99" t="str" cm="1">
        <f t="array" aca="1" ref="B12" ca="1">IFERROR(_xlfn._xlws.FILTER(Receitas!$F$2:$F$44,Receitas!$C$2:$C$44=Calendar!B11),IFERROR(_xlfn._xlws.FILTER(Receitas!$F$2:$F$44,Receitas!$A$2:$A$44=Calendar!B11),""))</f>
        <v>Perca do nilo no forno</v>
      </c>
      <c r="C12" s="99" t="str" cm="1">
        <f t="array" aca="1" ref="C12" ca="1">IFERROR(_xlfn._xlws.FILTER(Receitas!$F$2:$F$44,Receitas!$C$2:$C$44=Calendar!C11),IFERROR(_xlfn._xlws.FILTER(Receitas!$F$2:$F$44,Receitas!$A$2:$A$44=Calendar!C11),""))</f>
        <v>Mac and Cheese</v>
      </c>
      <c r="D12" s="99" t="str" cm="1">
        <f t="array" aca="1" ref="D12" ca="1">IFERROR(_xlfn._xlws.FILTER(Receitas!$F$2:$F$44,Receitas!$C$2:$C$44=Calendar!D11),IFERROR(_xlfn._xlws.FILTER(Receitas!$F$2:$F$44,Receitas!$A$2:$A$44=Calendar!D11),""))</f>
        <v>Escalopes ao vinho Madeira</v>
      </c>
      <c r="E12" s="99" t="str" cm="1">
        <f t="array" aca="1" ref="E12" ca="1">IFERROR(_xlfn._xlws.FILTER(Receitas!$F$2:$F$44,Receitas!$C$2:$C$44=Calendar!E11),IFERROR(_xlfn._xlws.FILTER(Receitas!$F$2:$F$44,Receitas!$A$2:$A$44=Calendar!E11),""))</f>
        <v>Bifes de perú com limão</v>
      </c>
      <c r="F12" s="99" t="str" cm="1">
        <f t="array" aca="1" ref="F12" ca="1">IFERROR(_xlfn._xlws.FILTER(Receitas!$F$2:$F$44,Receitas!$C$2:$C$44=Calendar!F11),IFERROR(_xlfn._xlws.FILTER(Receitas!$F$2:$F$44,Receitas!$A$2:$A$44=Calendar!F11),""))</f>
        <v>Salmão no forno com ervinhas da provença</v>
      </c>
      <c r="G12" s="99" t="str" cm="1">
        <f t="array" aca="1" ref="G12" ca="1">IFERROR(_xlfn._xlws.FILTER(Receitas!$F$2:$F$44,Receitas!$C$2:$C$44=Calendar!G11),IFERROR(_xlfn._xlws.FILTER(Receitas!$F$2:$F$44,Receitas!$A$2:$A$44=Calendar!G11),""))</f>
        <v>Feijão com arroz</v>
      </c>
      <c r="H12" s="100" t="str" cm="1">
        <f t="array" aca="1" ref="H12" ca="1">IFERROR(_xlfn._xlws.FILTER(Receitas!$F$2:$F$44,Receitas!$C$2:$C$44=Calendar!H11),IFERROR(_xlfn._xlws.FILTER(Receitas!$F$2:$F$44,Receitas!$A$2:$A$44=Calendar!H11),""))</f>
        <v>Salsichas com cove lombarda</v>
      </c>
      <c r="L12" s="19"/>
      <c r="O12" s="14">
        <f t="shared" si="0"/>
        <v>46138</v>
      </c>
      <c r="R12" s="7" t="s">
        <v>12</v>
      </c>
    </row>
    <row r="13" spans="1:18" s="9" customFormat="1" ht="28.5" customHeight="1" x14ac:dyDescent="0.2">
      <c r="B13" s="99"/>
      <c r="C13" s="99"/>
      <c r="D13" s="99"/>
      <c r="E13" s="99"/>
      <c r="F13" s="99"/>
      <c r="G13" s="99"/>
      <c r="H13" s="100"/>
      <c r="L13" s="19"/>
      <c r="O13" s="14">
        <f t="shared" si="0"/>
        <v>46139</v>
      </c>
    </row>
    <row r="14" spans="1:18" ht="16.5" hidden="1" customHeight="1" x14ac:dyDescent="0.2">
      <c r="B14" s="35"/>
      <c r="C14" s="35"/>
      <c r="D14" s="35"/>
      <c r="E14" s="35"/>
      <c r="F14" s="35"/>
      <c r="G14" s="35"/>
      <c r="H14" s="36"/>
      <c r="O14" s="14">
        <f t="shared" si="0"/>
        <v>46140</v>
      </c>
    </row>
    <row r="15" spans="1:18" ht="17.25" customHeight="1" x14ac:dyDescent="0.2">
      <c r="B15" s="109">
        <f t="shared" ref="B15:H15" ca="1" si="3">B11+7</f>
        <v>46139</v>
      </c>
      <c r="C15" s="106">
        <f t="shared" ca="1" si="3"/>
        <v>46140</v>
      </c>
      <c r="D15" s="106">
        <f t="shared" ca="1" si="3"/>
        <v>46141</v>
      </c>
      <c r="E15" s="110">
        <f t="shared" ca="1" si="3"/>
        <v>46142</v>
      </c>
      <c r="F15" s="109">
        <f t="shared" ca="1" si="3"/>
        <v>46143</v>
      </c>
      <c r="G15" s="109">
        <f t="shared" ca="1" si="3"/>
        <v>46144</v>
      </c>
      <c r="H15" s="111">
        <f t="shared" ca="1" si="3"/>
        <v>46145</v>
      </c>
      <c r="N15" s="14"/>
      <c r="O15" s="14">
        <f t="shared" si="0"/>
        <v>46141</v>
      </c>
    </row>
    <row r="16" spans="1:18" s="9" customFormat="1" ht="28.5" customHeight="1" x14ac:dyDescent="0.2">
      <c r="B16" s="99" t="str" cm="1">
        <f t="array" aca="1" ref="B16" ca="1">IFERROR(_xlfn._xlws.FILTER(Receitas!$F$2:$F$44,Receitas!$C$2:$C$44=Calendar!B15),IFERROR(_xlfn._xlws.FILTER(Receitas!$F$2:$F$44,Receitas!$A$2:$A$44=Calendar!B15),""))</f>
        <v>Empadão de carne</v>
      </c>
      <c r="C16" s="99" t="str" cm="1">
        <f t="array" aca="1" ref="C16" ca="1">IFERROR(_xlfn._xlws.FILTER(Receitas!$F$2:$F$44,Receitas!$C$2:$C$44=Calendar!C15),IFERROR(_xlfn._xlws.FILTER(Receitas!$F$2:$F$44,Receitas!$A$2:$A$44=Calendar!C15),""))</f>
        <v>Peixe cozido</v>
      </c>
      <c r="D16" s="99" t="str" cm="1">
        <f t="array" aca="1" ref="D16" ca="1">IFERROR(_xlfn._xlws.FILTER(Receitas!$F$2:$F$44,Receitas!$C$2:$C$44=Calendar!D15),IFERROR(_xlfn._xlws.FILTER(Receitas!$F$2:$F$44,Receitas!$A$2:$A$44=Calendar!D15),""))</f>
        <v>Frango Toscânia</v>
      </c>
      <c r="E16" s="99" t="str" cm="1">
        <f t="array" aca="1" ref="E16" ca="1">IFERROR(_xlfn._xlws.FILTER(Receitas!$F$2:$F$44,Receitas!$C$2:$C$44=Calendar!E15),IFERROR(_xlfn._xlws.FILTER(Receitas!$F$2:$F$44,Receitas!$A$2:$A$44=Calendar!E15),""))</f>
        <v>Chili</v>
      </c>
      <c r="F16" s="99" t="str" cm="1">
        <f t="array" aca="1" ref="F16" ca="1">IFERROR(_xlfn._xlws.FILTER(Receitas!$F$2:$F$44,Receitas!$C$2:$C$44=Calendar!F15),IFERROR(_xlfn._xlws.FILTER(Receitas!$F$2:$F$44,Receitas!$A$2:$A$44=Calendar!F15),""))</f>
        <v>Frango rápido</v>
      </c>
      <c r="G16" s="99" t="str" cm="1">
        <f t="array" aca="1" ref="G16" ca="1">IFERROR(_xlfn._xlws.FILTER(Receitas!$F$2:$F$44,Receitas!$C$2:$C$44=Calendar!G15),IFERROR(_xlfn._xlws.FILTER(Receitas!$F$2:$F$44,Receitas!$A$2:$A$44=Calendar!G15),""))</f>
        <v>Almondegas</v>
      </c>
      <c r="H16" s="100" t="str" cm="1">
        <f t="array" aca="1" ref="H16" ca="1">IFERROR(_xlfn._xlws.FILTER(Receitas!$F$2:$F$44,Receitas!$C$2:$C$44=Calendar!H15),IFERROR(_xlfn._xlws.FILTER(Receitas!$F$2:$F$44,Receitas!$A$2:$A$44=Calendar!H15),""))</f>
        <v>Douradinhos</v>
      </c>
      <c r="L16" s="19"/>
      <c r="O16" s="14">
        <f t="shared" si="0"/>
        <v>46142</v>
      </c>
    </row>
    <row r="17" spans="2:20" s="9" customFormat="1" ht="28.5" customHeight="1" x14ac:dyDescent="0.2">
      <c r="B17" s="99"/>
      <c r="C17" s="99"/>
      <c r="D17" s="99"/>
      <c r="E17" s="99"/>
      <c r="F17" s="99"/>
      <c r="G17" s="99"/>
      <c r="H17" s="100"/>
      <c r="L17" s="19"/>
      <c r="O17" s="14">
        <f t="shared" si="0"/>
        <v>46143</v>
      </c>
    </row>
    <row r="18" spans="2:20" ht="16.5" hidden="1" customHeight="1" x14ac:dyDescent="0.2">
      <c r="B18" s="35"/>
      <c r="C18" s="35"/>
      <c r="D18" s="35"/>
      <c r="E18" s="35"/>
      <c r="F18" s="35"/>
      <c r="G18" s="35"/>
      <c r="H18" s="36"/>
      <c r="O18" s="14">
        <f t="shared" si="0"/>
        <v>46144</v>
      </c>
    </row>
    <row r="19" spans="2:20" ht="17.25" customHeight="1" x14ac:dyDescent="0.2">
      <c r="B19" s="110">
        <f t="shared" ref="B19:H19" ca="1" si="4">B15+7</f>
        <v>46146</v>
      </c>
      <c r="C19" s="110">
        <f t="shared" ca="1" si="4"/>
        <v>46147</v>
      </c>
      <c r="D19" s="110">
        <f t="shared" ca="1" si="4"/>
        <v>46148</v>
      </c>
      <c r="E19" s="110">
        <f t="shared" ca="1" si="4"/>
        <v>46149</v>
      </c>
      <c r="F19" s="110">
        <f t="shared" ca="1" si="4"/>
        <v>46150</v>
      </c>
      <c r="G19" s="110">
        <f t="shared" ca="1" si="4"/>
        <v>46151</v>
      </c>
      <c r="H19" s="120">
        <f t="shared" ca="1" si="4"/>
        <v>46152</v>
      </c>
      <c r="N19" s="14"/>
      <c r="O19" s="14">
        <f t="shared" si="0"/>
        <v>46145</v>
      </c>
    </row>
    <row r="20" spans="2:20" s="9" customFormat="1" ht="28.5" customHeight="1" x14ac:dyDescent="0.2">
      <c r="B20" s="99" t="str" cm="1">
        <f t="array" aca="1" ref="B20" ca="1">IFERROR(_xlfn._xlws.FILTER(Receitas!$F$2:$F$44,Receitas!$C$2:$C$44=Calendar!B19),IFERROR(_xlfn._xlws.FILTER(Receitas!$F$2:$F$44,Receitas!$A$2:$A$44=Calendar!B19),""))</f>
        <v>Bacalhau com grão</v>
      </c>
      <c r="C20" s="99" t="str" cm="1">
        <f t="array" aca="1" ref="C20" ca="1">IFERROR(_xlfn._xlws.FILTER(Receitas!$F$2:$F$44,Receitas!$C$2:$C$44=Calendar!C19),IFERROR(_xlfn._xlws.FILTER(Receitas!$F$2:$F$44,Receitas!$A$2:$A$44=Calendar!C19),""))</f>
        <v>Frango com massa</v>
      </c>
      <c r="D20" s="99" t="str" cm="1">
        <f t="array" aca="1" ref="D20" ca="1">IFERROR(_xlfn._xlws.FILTER(Receitas!$F$2:$F$44,Receitas!$C$2:$C$44=Calendar!D19),IFERROR(_xlfn._xlws.FILTER(Receitas!$F$2:$F$44,Receitas!$A$2:$A$44=Calendar!D19),""))</f>
        <v>Jardineira</v>
      </c>
      <c r="E20" s="99" t="str" cm="1">
        <f t="array" aca="1" ref="E20" ca="1">IFERROR(_xlfn._xlws.FILTER(Receitas!$F$2:$F$44,Receitas!$C$2:$C$44=Calendar!E19),IFERROR(_xlfn._xlws.FILTER(Receitas!$F$2:$F$44,Receitas!$A$2:$A$44=Calendar!E19),""))</f>
        <v>Carne de vaca guisada</v>
      </c>
      <c r="F20" s="99" t="str" cm="1">
        <f t="array" aca="1" ref="F20" ca="1">IFERROR(_xlfn._xlws.FILTER(Receitas!$F$2:$F$44,Receitas!$C$2:$C$44=Calendar!F19),IFERROR(_xlfn._xlws.FILTER(Receitas!$F$2:$F$44,Receitas!$A$2:$A$44=Calendar!F19),""))</f>
        <v>Carne de porco à portuguesa</v>
      </c>
      <c r="G20" s="99" t="str" cm="1">
        <f t="array" aca="1" ref="G20" ca="1">IFERROR(_xlfn._xlws.FILTER(Receitas!$F$2:$F$44,Receitas!$C$2:$C$44=Calendar!G19),IFERROR(_xlfn._xlws.FILTER(Receitas!$F$2:$F$44,Receitas!$A$2:$A$44=Calendar!G19),""))</f>
        <v>Lombos de pescada com molho de mostarda</v>
      </c>
      <c r="H20" s="100" t="str" cm="1">
        <f t="array" aca="1" ref="H20" ca="1">IFERROR(_xlfn._xlws.FILTER(Receitas!$F$2:$F$44,Receitas!$C$2:$C$44=Calendar!H19),IFERROR(_xlfn._xlws.FILTER(Receitas!$F$2:$F$44,Receitas!$A$2:$A$44=Calendar!H19),""))</f>
        <v>Bolonhesa</v>
      </c>
      <c r="L20" s="19"/>
      <c r="O20" s="14">
        <f t="shared" si="0"/>
        <v>46146</v>
      </c>
    </row>
    <row r="21" spans="2:20" s="9" customFormat="1" ht="28.5" customHeight="1" x14ac:dyDescent="0.2">
      <c r="B21" s="99"/>
      <c r="C21" s="99"/>
      <c r="D21" s="99"/>
      <c r="E21" s="99"/>
      <c r="F21" s="99"/>
      <c r="G21" s="99"/>
      <c r="H21" s="100"/>
      <c r="L21" s="19"/>
      <c r="O21" s="14">
        <f t="shared" si="0"/>
        <v>46147</v>
      </c>
    </row>
    <row r="22" spans="2:20" ht="16.5" hidden="1" customHeight="1" x14ac:dyDescent="0.2">
      <c r="B22" s="35"/>
      <c r="C22" s="35"/>
      <c r="D22" s="35"/>
      <c r="E22" s="35"/>
      <c r="F22" s="35"/>
      <c r="G22" s="35"/>
      <c r="H22" s="36"/>
      <c r="O22" s="14">
        <f t="shared" si="0"/>
        <v>46148</v>
      </c>
    </row>
    <row r="23" spans="2:20" ht="17.25" customHeight="1" x14ac:dyDescent="0.2">
      <c r="B23" s="106">
        <f t="shared" ref="B23:H23" ca="1" si="5">B19+7</f>
        <v>46153</v>
      </c>
      <c r="C23" s="106">
        <f t="shared" ca="1" si="5"/>
        <v>46154</v>
      </c>
      <c r="D23" s="106">
        <f t="shared" ca="1" si="5"/>
        <v>46155</v>
      </c>
      <c r="E23" s="106">
        <f t="shared" ca="1" si="5"/>
        <v>46156</v>
      </c>
      <c r="F23" s="106">
        <f t="shared" ca="1" si="5"/>
        <v>46157</v>
      </c>
      <c r="G23" s="106">
        <f t="shared" ca="1" si="5"/>
        <v>46158</v>
      </c>
      <c r="H23" s="107">
        <f t="shared" ca="1" si="5"/>
        <v>46159</v>
      </c>
      <c r="N23" s="14"/>
      <c r="O23" s="14">
        <f t="shared" si="0"/>
        <v>46149</v>
      </c>
    </row>
    <row r="24" spans="2:20" s="9" customFormat="1" ht="28.5" customHeight="1" x14ac:dyDescent="0.2">
      <c r="B24" s="99" t="str" cm="1">
        <f t="array" aca="1" ref="B24" ca="1">IFERROR(_xlfn._xlws.FILTER(Receitas!$F$2:$F$44,Receitas!$C$2:$C$44=Calendar!B23),IFERROR(_xlfn._xlws.FILTER(Receitas!$F$2:$F$44,Receitas!$A$2:$A$44=Calendar!B23),""))</f>
        <v>Filetes no forno com limão</v>
      </c>
      <c r="C24" s="99" t="str" cm="1">
        <f t="array" aca="1" ref="C24" ca="1">IFERROR(_xlfn._xlws.FILTER(Receitas!$F$2:$F$44,Receitas!$C$2:$C$44=Calendar!C23),IFERROR(_xlfn._xlws.FILTER(Receitas!$F$2:$F$44,Receitas!$A$2:$A$44=Calendar!C23),""))</f>
        <v>Arroz de bacalhau</v>
      </c>
      <c r="D24" s="99" t="str" cm="1">
        <f t="array" aca="1" ref="D24" ca="1">IFERROR(_xlfn._xlws.FILTER(Receitas!$F$2:$F$44,Receitas!$C$2:$C$44=Calendar!D23),IFERROR(_xlfn._xlws.FILTER(Receitas!$F$2:$F$44,Receitas!$A$2:$A$44=Calendar!D23),""))</f>
        <v>Bacalhau com legumes (revista robot de cozinha)</v>
      </c>
      <c r="E24" s="99" t="str" cm="1">
        <f t="array" aca="1" ref="E24" ca="1">IFERROR(_xlfn._xlws.FILTER(Receitas!$F$2:$F$44,Receitas!$C$2:$C$44=Calendar!E23),IFERROR(_xlfn._xlws.FILTER(Receitas!$F$2:$F$44,Receitas!$A$2:$A$44=Calendar!E23),""))</f>
        <v>Carne de porco com cogumelos na actifry</v>
      </c>
      <c r="F24" s="99" t="str" cm="1">
        <f t="array" aca="1" ref="F24" ca="1">IFERROR(_xlfn._xlws.FILTER(Receitas!$F$2:$F$44,Receitas!$C$2:$C$44=Calendar!F23),IFERROR(_xlfn._xlws.FILTER(Receitas!$F$2:$F$44,Receitas!$A$2:$A$44=Calendar!F23),""))</f>
        <v>Bifanas com natas</v>
      </c>
      <c r="G24" s="99" t="str" cm="1">
        <f t="array" aca="1" ref="G24" ca="1">IFERROR(_xlfn._xlws.FILTER(Receitas!$F$2:$F$44,Receitas!$C$2:$C$44=Calendar!G23),IFERROR(_xlfn._xlws.FILTER(Receitas!$F$2:$F$44,Receitas!$A$2:$A$44=Calendar!G23),""))</f>
        <v>Rolo de carne do Lidl</v>
      </c>
      <c r="H24" s="100" t="str" cm="1">
        <f t="array" aca="1" ref="H24" ca="1">IFERROR(_xlfn._xlws.FILTER(Receitas!$F$2:$F$44,Receitas!$C$2:$C$44=Calendar!H23),IFERROR(_xlfn._xlws.FILTER(Receitas!$F$2:$F$44,Receitas!$A$2:$A$44=Calendar!H23),""))</f>
        <v>Frango ao Lagar</v>
      </c>
      <c r="L24" s="19"/>
      <c r="O24" s="14">
        <f t="shared" si="0"/>
        <v>46150</v>
      </c>
    </row>
    <row r="25" spans="2:20" s="9" customFormat="1" ht="28.5" customHeight="1" x14ac:dyDescent="0.2">
      <c r="B25" s="99"/>
      <c r="C25" s="99"/>
      <c r="D25" s="99"/>
      <c r="E25" s="99"/>
      <c r="F25" s="99"/>
      <c r="G25" s="99"/>
      <c r="H25" s="100"/>
      <c r="L25" s="19"/>
      <c r="O25" s="14">
        <f t="shared" si="0"/>
        <v>46151</v>
      </c>
    </row>
    <row r="26" spans="2:20" ht="16.5" hidden="1" customHeight="1" x14ac:dyDescent="0.2">
      <c r="B26" s="35"/>
      <c r="C26" s="35"/>
      <c r="D26" s="35"/>
      <c r="E26" s="35"/>
      <c r="F26" s="35"/>
      <c r="G26" s="35"/>
      <c r="H26" s="36"/>
      <c r="O26" s="14">
        <f t="shared" si="0"/>
        <v>46152</v>
      </c>
    </row>
    <row r="27" spans="2:20" ht="17.25" customHeight="1" x14ac:dyDescent="0.2">
      <c r="B27" s="106">
        <f ca="1">B23+7</f>
        <v>46160</v>
      </c>
      <c r="C27" s="106">
        <f ca="1">C23+7</f>
        <v>46161</v>
      </c>
      <c r="D27" s="33"/>
      <c r="E27" s="33"/>
      <c r="F27" s="33"/>
      <c r="G27" s="33"/>
      <c r="H27" s="34"/>
      <c r="N27" s="14"/>
      <c r="O27" s="14">
        <f t="shared" si="0"/>
        <v>46153</v>
      </c>
    </row>
    <row r="28" spans="2:20" s="9" customFormat="1" ht="28.5" customHeight="1" x14ac:dyDescent="0.2">
      <c r="B28" s="99" t="str" cm="1">
        <f t="array" aca="1" ref="B28" ca="1">IFERROR(_xlfn._xlws.FILTER(Receitas!$F$2:$F$44,Receitas!$C$2:$C$44=Calendar!B27),IFERROR(_xlfn._xlws.FILTER(Receitas!$F$2:$F$44,Receitas!$A$2:$A$44=Calendar!B27),""))</f>
        <v>Massinha de Peixe</v>
      </c>
      <c r="C28" s="99" t="str" cm="1">
        <f t="array" aca="1" ref="C28" ca="1">IFERROR(_xlfn._xlws.FILTER(Receitas!$F$2:$F$44,Receitas!$C$2:$C$44=Calendar!C27),IFERROR(_xlfn._xlws.FILTER(Receitas!$F$2:$F$44,Receitas!$A$2:$A$44=Calendar!C27),""))</f>
        <v>Frango com cerveja</v>
      </c>
      <c r="D28" s="99"/>
      <c r="E28" s="99"/>
      <c r="F28" s="99"/>
      <c r="G28" s="99"/>
      <c r="H28" s="100"/>
      <c r="L28" s="19"/>
      <c r="O28" s="14">
        <f t="shared" si="0"/>
        <v>46154</v>
      </c>
    </row>
    <row r="29" spans="2:20" s="9" customFormat="1" ht="28.5" customHeight="1" x14ac:dyDescent="0.2">
      <c r="B29" s="99"/>
      <c r="C29" s="99"/>
      <c r="D29" s="99"/>
      <c r="E29" s="99"/>
      <c r="F29" s="99"/>
      <c r="G29" s="99"/>
      <c r="H29" s="100"/>
      <c r="L29" s="19"/>
      <c r="O29" s="14">
        <f t="shared" si="0"/>
        <v>46155</v>
      </c>
    </row>
    <row r="30" spans="2:20" hidden="1" x14ac:dyDescent="0.2">
      <c r="B30" s="35"/>
      <c r="C30" s="35"/>
      <c r="D30" s="37"/>
      <c r="E30" s="37"/>
      <c r="F30" s="37"/>
      <c r="G30" s="37"/>
      <c r="H30" s="37"/>
      <c r="O30" s="14">
        <f t="shared" si="0"/>
        <v>46156</v>
      </c>
    </row>
    <row r="31" spans="2:20" x14ac:dyDescent="0.2">
      <c r="O31" s="14">
        <f t="shared" si="0"/>
        <v>46157</v>
      </c>
      <c r="Q31" s="7">
        <v>1</v>
      </c>
      <c r="R31" s="7">
        <v>2</v>
      </c>
      <c r="S31" s="7">
        <v>3</v>
      </c>
      <c r="T31" s="7">
        <v>4</v>
      </c>
    </row>
    <row r="32" spans="2:20" x14ac:dyDescent="0.2">
      <c r="O32" s="14">
        <f t="shared" si="0"/>
        <v>46158</v>
      </c>
      <c r="Q32" s="56" t="s">
        <v>13</v>
      </c>
      <c r="R32" s="63" t="s">
        <v>14</v>
      </c>
      <c r="S32" s="58" t="s">
        <v>15</v>
      </c>
      <c r="T32" t="s">
        <v>16</v>
      </c>
    </row>
    <row r="33" spans="2:20" x14ac:dyDescent="0.2">
      <c r="B33" s="75"/>
      <c r="C33" s="75"/>
      <c r="D33" s="75"/>
      <c r="E33" s="75"/>
      <c r="F33" s="75"/>
      <c r="G33" s="75"/>
      <c r="H33" s="75"/>
      <c r="I33" s="74"/>
      <c r="O33" s="14">
        <f t="shared" si="0"/>
        <v>46159</v>
      </c>
      <c r="Q33" s="53" t="s">
        <v>17</v>
      </c>
      <c r="R33" s="57" t="s">
        <v>18</v>
      </c>
      <c r="S33" s="59" t="s">
        <v>19</v>
      </c>
      <c r="T33" t="s">
        <v>20</v>
      </c>
    </row>
    <row r="34" spans="2:20" x14ac:dyDescent="0.2">
      <c r="B34" s="75"/>
      <c r="C34" s="75"/>
      <c r="D34" s="75"/>
      <c r="E34" s="75"/>
      <c r="F34" s="75"/>
      <c r="G34" s="75"/>
      <c r="H34" s="75"/>
      <c r="I34" s="74"/>
      <c r="O34" s="14">
        <f t="shared" si="0"/>
        <v>46160</v>
      </c>
      <c r="Q34" s="54" t="s">
        <v>21</v>
      </c>
      <c r="R34" s="64" t="s">
        <v>22</v>
      </c>
      <c r="S34" s="60" t="s">
        <v>23</v>
      </c>
      <c r="T34" t="s">
        <v>24</v>
      </c>
    </row>
    <row r="35" spans="2:20" x14ac:dyDescent="0.2">
      <c r="B35" s="74"/>
      <c r="C35" s="74"/>
      <c r="D35" s="74"/>
      <c r="E35" s="74"/>
      <c r="F35" s="74"/>
      <c r="G35" s="74"/>
      <c r="H35" s="74"/>
      <c r="I35" s="74"/>
      <c r="O35" s="14">
        <f t="shared" si="0"/>
        <v>46161</v>
      </c>
      <c r="Q35" s="55" t="s">
        <v>25</v>
      </c>
      <c r="R35"/>
      <c r="S35" s="61" t="s">
        <v>26</v>
      </c>
      <c r="T35" t="s">
        <v>27</v>
      </c>
    </row>
    <row r="36" spans="2:20" x14ac:dyDescent="0.2">
      <c r="B36" s="75"/>
      <c r="C36" s="75"/>
      <c r="D36" s="75"/>
      <c r="E36" s="75"/>
      <c r="F36" s="75"/>
      <c r="G36" s="75"/>
      <c r="H36" s="75"/>
      <c r="I36" s="74"/>
      <c r="O36" s="14">
        <f t="shared" si="0"/>
        <v>46162</v>
      </c>
      <c r="Q36"/>
      <c r="R36"/>
      <c r="S36" s="62" t="s">
        <v>28</v>
      </c>
      <c r="T36"/>
    </row>
    <row r="37" spans="2:20" x14ac:dyDescent="0.2">
      <c r="B37" s="75"/>
      <c r="C37" s="75"/>
      <c r="D37" s="75"/>
      <c r="E37" s="75"/>
      <c r="F37" s="75"/>
      <c r="G37" s="75"/>
      <c r="H37" s="75"/>
      <c r="I37" s="74"/>
      <c r="O37" s="14">
        <f t="shared" si="0"/>
        <v>46163</v>
      </c>
    </row>
    <row r="38" spans="2:20" x14ac:dyDescent="0.2">
      <c r="B38" s="74"/>
      <c r="C38" s="74"/>
      <c r="D38" s="74"/>
      <c r="E38" s="74"/>
      <c r="F38" s="74"/>
      <c r="G38" s="74"/>
      <c r="H38" s="74"/>
      <c r="I38" s="74"/>
    </row>
    <row r="39" spans="2:20" x14ac:dyDescent="0.2">
      <c r="B39" s="74"/>
      <c r="C39" s="74"/>
      <c r="D39" s="74"/>
      <c r="E39" s="74"/>
      <c r="F39" s="74"/>
      <c r="G39" s="74"/>
      <c r="H39" s="74"/>
      <c r="I39" s="74"/>
    </row>
    <row r="40" spans="2:20" x14ac:dyDescent="0.2">
      <c r="B40" s="75"/>
      <c r="C40" s="75"/>
      <c r="D40" s="75"/>
      <c r="E40" s="75"/>
      <c r="F40" s="75"/>
      <c r="G40" s="75"/>
      <c r="H40" s="75"/>
      <c r="I40" s="74"/>
    </row>
    <row r="41" spans="2:20" x14ac:dyDescent="0.2">
      <c r="B41" s="75"/>
      <c r="C41" s="75"/>
      <c r="D41" s="75"/>
      <c r="E41" s="75"/>
      <c r="F41" s="75"/>
      <c r="G41" s="75"/>
      <c r="H41" s="75"/>
      <c r="I41" s="74"/>
    </row>
    <row r="42" spans="2:20" x14ac:dyDescent="0.2">
      <c r="B42" s="74"/>
      <c r="C42" s="74"/>
      <c r="D42" s="74"/>
      <c r="E42" s="74"/>
      <c r="F42" s="74"/>
      <c r="G42" s="74"/>
      <c r="H42" s="74"/>
      <c r="I42" s="74"/>
    </row>
    <row r="43" spans="2:20" x14ac:dyDescent="0.2">
      <c r="B43" s="74"/>
      <c r="C43" s="74"/>
      <c r="D43" s="74"/>
      <c r="E43" s="74"/>
      <c r="F43" s="74"/>
      <c r="G43" s="74"/>
      <c r="H43" s="74"/>
      <c r="I43" s="74"/>
    </row>
    <row r="44" spans="2:20" x14ac:dyDescent="0.2">
      <c r="B44" s="75"/>
      <c r="C44" s="75"/>
      <c r="D44" s="75"/>
      <c r="E44" s="75"/>
      <c r="F44" s="75"/>
      <c r="G44" s="75"/>
      <c r="H44" s="75"/>
      <c r="I44" s="74"/>
    </row>
    <row r="45" spans="2:20" x14ac:dyDescent="0.2">
      <c r="B45" s="75"/>
      <c r="C45" s="75"/>
      <c r="D45" s="75"/>
      <c r="E45" s="75"/>
      <c r="F45" s="75"/>
      <c r="G45" s="75"/>
      <c r="H45" s="75"/>
      <c r="I45" s="74"/>
    </row>
    <row r="46" spans="2:20" x14ac:dyDescent="0.2">
      <c r="B46" s="74"/>
      <c r="C46" s="74"/>
      <c r="D46" s="74"/>
      <c r="E46" s="74"/>
      <c r="F46" s="74"/>
      <c r="G46" s="74"/>
      <c r="H46" s="74"/>
      <c r="I46" s="74"/>
    </row>
    <row r="47" spans="2:20" x14ac:dyDescent="0.2">
      <c r="B47" s="74"/>
      <c r="C47" s="74"/>
      <c r="D47" s="74"/>
      <c r="E47" s="74"/>
      <c r="F47" s="74"/>
      <c r="G47" s="74"/>
      <c r="H47" s="74"/>
      <c r="I47" s="74"/>
    </row>
    <row r="48" spans="2:20" x14ac:dyDescent="0.2">
      <c r="B48" s="75"/>
      <c r="C48" s="75"/>
      <c r="D48" s="75"/>
      <c r="E48" s="75"/>
      <c r="F48" s="75"/>
      <c r="G48" s="75"/>
      <c r="H48" s="75"/>
      <c r="I48" s="74"/>
    </row>
    <row r="49" spans="2:9" x14ac:dyDescent="0.2">
      <c r="B49" s="75"/>
      <c r="C49" s="75"/>
      <c r="D49" s="75"/>
      <c r="E49" s="75"/>
      <c r="F49" s="75"/>
      <c r="G49" s="75"/>
      <c r="H49" s="75"/>
      <c r="I49" s="74"/>
    </row>
    <row r="50" spans="2:9" x14ac:dyDescent="0.2">
      <c r="B50" s="74"/>
      <c r="C50" s="74"/>
      <c r="D50" s="74"/>
      <c r="E50" s="74"/>
      <c r="F50" s="74"/>
      <c r="G50" s="74"/>
      <c r="H50" s="74"/>
      <c r="I50" s="74"/>
    </row>
    <row r="51" spans="2:9" x14ac:dyDescent="0.2">
      <c r="B51" s="74"/>
      <c r="C51" s="74"/>
      <c r="D51" s="74"/>
      <c r="E51" s="74"/>
      <c r="F51" s="74"/>
      <c r="G51" s="74"/>
      <c r="H51" s="74"/>
      <c r="I51" s="74"/>
    </row>
    <row r="52" spans="2:9" x14ac:dyDescent="0.2">
      <c r="B52" s="75"/>
      <c r="C52" s="75"/>
      <c r="D52" s="75"/>
      <c r="E52" s="75"/>
      <c r="F52" s="75"/>
      <c r="G52" s="75"/>
      <c r="H52" s="75"/>
      <c r="I52" s="74"/>
    </row>
    <row r="53" spans="2:9" x14ac:dyDescent="0.2">
      <c r="B53" s="75"/>
      <c r="C53" s="75"/>
      <c r="D53" s="75"/>
      <c r="E53" s="75"/>
      <c r="F53" s="75"/>
      <c r="G53" s="75"/>
      <c r="H53" s="75"/>
      <c r="I53" s="74"/>
    </row>
    <row r="54" spans="2:9" x14ac:dyDescent="0.2">
      <c r="B54" s="74"/>
      <c r="C54" s="74"/>
      <c r="D54" s="74"/>
      <c r="E54" s="74"/>
      <c r="F54" s="74"/>
      <c r="G54" s="74"/>
      <c r="H54" s="74"/>
      <c r="I54" s="74"/>
    </row>
  </sheetData>
  <dataConsolidate/>
  <mergeCells count="2">
    <mergeCell ref="B2:B4"/>
    <mergeCell ref="C2:D4"/>
  </mergeCells>
  <phoneticPr fontId="2" type="noConversion"/>
  <conditionalFormatting sqref="B7:H7 B11:H11">
    <cfRule type="expression" dxfId="86" priority="34" stopIfTrue="1">
      <formula>MONTH(B7)&lt;&gt;Calendar2Month</formula>
    </cfRule>
  </conditionalFormatting>
  <conditionalFormatting sqref="B11:H11">
    <cfRule type="cellIs" dxfId="85" priority="72" operator="equal">
      <formula>TODAY()</formula>
    </cfRule>
  </conditionalFormatting>
  <dataValidations xWindow="261" yWindow="449" count="8">
    <dataValidation type="list" errorStyle="warning" allowBlank="1" showInputMessage="1" showErrorMessage="1" error="Select the week start day from the list. Select CANCEL,press ALT+DOWN ARROW for options, then DOWN ARROW and ENTER to make selection" prompt="Select the week start day in this cell. Press ALT+DOWN ARROW to open the drop-down list, then ENTER to make the selection. The calendar will update automatically" sqref="B6" xr:uid="{00000000-0002-0000-0000-000000000000}">
      <formula1>"SEGUNDA-FEIRA,TERÇA-FEIRA,QUARTA-FEIRA,QUINTA-FEIRA,SEXTA-FEIRA,SÁBADO,DOMINGO"</formula1>
    </dataValidation>
    <dataValidation allowBlank="1" showInputMessage="1" prompt="This workbook is a 12-month calendar. Enter starting year in cell B1, then select the starting month in cell C1. The calendar will update automatically for subsequent months" sqref="A4" xr:uid="{00000000-0002-0000-0000-000002000000}"/>
    <dataValidation allowBlank="1" showInputMessage="1" showErrorMessage="1" prompt="Enter year in this cell" sqref="B2" xr:uid="{00000000-0002-0000-0000-000003000000}"/>
    <dataValidation allowBlank="1" showInputMessage="1" prompt="Automatically determined weekday. To change weekdays, select a new week start day in cell B2" sqref="C6:H6" xr:uid="{00000000-0002-0000-0000-000004000000}"/>
    <dataValidation allowBlank="1" showInputMessage="1" prompt="Enter monthly Notes in cell below" sqref="D27:H27" xr:uid="{00000000-0002-0000-0000-00000C000000}"/>
    <dataValidation allowBlank="1" showInputMessage="1" prompt="Enter monthly Notes in this cell" sqref="D28:H30" xr:uid="{00000000-0002-0000-0000-00000D000000}"/>
    <dataValidation type="list" showInputMessage="1" showErrorMessage="1" sqref="M6" xr:uid="{5F2D4EBE-12B2-4C86-8D70-1061BF9DC6CF}">
      <formula1>$O$4:$O$34</formula1>
    </dataValidation>
    <dataValidation type="list" showInputMessage="1" showErrorMessage="1" sqref="K6" xr:uid="{CE199FCA-298A-447D-BAFC-4F0C9212E169}">
      <formula1>$N$4:$N$11</formula1>
    </dataValidation>
  </dataValidations>
  <printOptions horizontalCentered="1" verticalCentered="1"/>
  <pageMargins left="0.25" right="0.25" top="0.45" bottom="0.45" header="0.5" footer="0.5"/>
  <pageSetup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7" id="{492E8C8D-D766-4F25-9C29-7EC0423B6717}">
            <xm:f>AND(_xlfn._xlws.FILTER(Receitas!$K$2:$K$40,Receitas!$F$2:$F$40=B12)&gt;0,B11&gt;=TODAY())</xm:f>
            <x14:dxf>
              <fill>
                <patternFill patternType="none">
                  <bgColor auto="1"/>
                </patternFill>
              </fill>
            </x14:dxf>
          </x14:cfRule>
          <xm:sqref>B15:H15 B19:H19 B23:H23 B27:C27 B11:H11</xm:sqref>
        </x14:conditionalFormatting>
        <x14:conditionalFormatting xmlns:xm="http://schemas.microsoft.com/office/excel/2006/main">
          <x14:cfRule type="expression" priority="172" stopIfTrue="1" id="{7E5AC77D-6096-48F8-B412-FF16591F482C}">
            <xm:f>ISERROR(_xlfn._xlws.FILTER(Receitas!$F$2:$F$40,Receitas!$C$2:$C$40=B7))</xm:f>
            <x14:dxf>
              <font>
                <color theme="0" tint="-0.24994659260841701"/>
              </font>
            </x14:dxf>
          </x14:cfRule>
          <xm:sqref>B8:H10 B12:H13</xm:sqref>
        </x14:conditionalFormatting>
        <x14:conditionalFormatting xmlns:xm="http://schemas.microsoft.com/office/excel/2006/main">
          <x14:cfRule type="expression" priority="174" stopIfTrue="1" id="{C94626AF-FFD8-45E0-91B9-0781E1576641}">
            <xm:f>_xlfn._xlws.FILTER(Receitas!$G$2:$G$40,Receitas!$C$2:$C$40=B7)="Porco"</xm:f>
            <x14:dxf>
              <font>
                <color rgb="FFF5B7A7"/>
              </font>
            </x14:dxf>
          </x14:cfRule>
          <x14:cfRule type="expression" priority="175" stopIfTrue="1" id="{D9F30D13-7D8B-437E-BA39-085FC0C6FC12}">
            <xm:f>_xlfn._xlws.FILTER(Receitas!$G$2:$G$40,Receitas!$C$2:$C$40=B7)="Picado"</xm:f>
            <x14:dxf>
              <font>
                <color rgb="FFF0937B"/>
              </font>
            </x14:dxf>
          </x14:cfRule>
          <x14:cfRule type="expression" priority="176" stopIfTrue="1" id="{DAE4E29D-C384-4486-B764-5392DA3CEAC8}">
            <xm:f>_xlfn._xlws.FILTER(Receitas!$G$2:$G$40,Receitas!$C$2:$C$40=B7)="Vaca"</xm:f>
            <x14:dxf>
              <font>
                <color rgb="FFB13414"/>
              </font>
            </x14:dxf>
          </x14:cfRule>
          <x14:cfRule type="expression" priority="177" stopIfTrue="1" id="{0B6D5FE0-242B-43DB-ADE1-E6F3AFDDD83A}">
            <xm:f>_xlfn._xlws.FILTER(Receitas!$G$2:$G$40,Receitas!$C$2:$C$40=B7)="Bifes"</xm:f>
            <x14:dxf>
              <font>
                <color rgb="FF76230E"/>
              </font>
            </x14:dxf>
          </x14:cfRule>
          <x14:cfRule type="expression" priority="178" stopIfTrue="1" id="{F47C1A64-52A6-4ED0-9D5D-F5C83503A6CB}">
            <xm:f>_xlfn._xlws.FILTER(Receitas!$G$2:$G$40,Receitas!$C$2:$C$40=B7)="Frango"</xm:f>
            <x14:dxf>
              <font>
                <color rgb="FFFFCA08"/>
              </font>
            </x14:dxf>
          </x14:cfRule>
          <x14:cfRule type="expression" priority="179" stopIfTrue="1" id="{2FAE5C1C-E11E-403A-831A-5651D962C361}">
            <xm:f>_xlfn._xlws.FILTER(Receitas!$G$2:$G$40,Receitas!$C$2:$C$40=B7)="Peito frango"</xm:f>
            <x14:dxf>
              <font>
                <color rgb="FFC69900"/>
              </font>
            </x14:dxf>
          </x14:cfRule>
          <x14:cfRule type="expression" priority="180" stopIfTrue="1" id="{8B68A118-CD0B-46A6-A85B-EE5083951C4C}">
            <xm:f>_xlfn._xlws.FILTER(Receitas!$G$2:$G$40,Receitas!$C$2:$C$40=B7)="Peru"</xm:f>
            <x14:dxf>
              <font>
                <color rgb="FF9F6A28"/>
              </font>
            </x14:dxf>
          </x14:cfRule>
          <x14:cfRule type="expression" priority="181" stopIfTrue="1" id="{BB34E6B9-14FA-47BA-838A-762F29819D81}">
            <xm:f>_xlfn._xlws.FILTER(Receitas!$G$2:$G$40,Receitas!$C$2:$C$40=B7)="Atum"</xm:f>
            <x14:dxf>
              <font>
                <color rgb="FF00B050"/>
              </font>
            </x14:dxf>
          </x14:cfRule>
          <x14:cfRule type="expression" priority="182" stopIfTrue="1" id="{503EEA74-B354-4196-AF6C-AE7033A12BB2}">
            <xm:f>_xlfn._xlws.FILTER(Receitas!$G$2:$G$40,Receitas!$C$2:$C$40=B7)="Bacalhau"</xm:f>
            <x14:dxf>
              <font>
                <color rgb="FF92D050"/>
              </font>
            </x14:dxf>
          </x14:cfRule>
          <x14:cfRule type="expression" priority="183" stopIfTrue="1" id="{20ED5F77-F7B1-4720-A26A-9F70411C55FA}">
            <xm:f>_xlfn._xlws.FILTER(Receitas!$G$2:$G$40,Receitas!$C$2:$C$40=B7)="Pescada"</xm:f>
            <x14:dxf>
              <font>
                <color rgb="FF00B0F0"/>
              </font>
            </x14:dxf>
          </x14:cfRule>
          <x14:cfRule type="expression" priority="184" stopIfTrue="1" id="{4F8A1622-6349-450A-AEC8-2E04C0104504}">
            <xm:f>_xlfn._xlws.FILTER(Receitas!$G$2:$G$40,Receitas!$C$2:$C$40=B7)="Peixe"</xm:f>
            <x14:dxf>
              <font>
                <color rgb="FF0070C0"/>
              </font>
            </x14:dxf>
          </x14:cfRule>
          <x14:cfRule type="expression" priority="185" stopIfTrue="1" id="{B00A04B7-992D-4C5D-843B-144C3CE461A3}">
            <xm:f>_xlfn._xlws.FILTER(Receitas!$G$2:$G$40,Receitas!$C$2:$C$40=B7)="Salmão"</xm:f>
            <x14:dxf>
              <font>
                <color rgb="FF7030A0"/>
              </font>
            </x14:dxf>
          </x14:cfRule>
          <xm:sqref>B8:H10 B16:H17 B20:H21 B24:H25 B28:H29 B12:H13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F22E-82DC-42A3-9B74-F40F0874A244}">
  <sheetPr codeName="wsVerifica">
    <tabColor rgb="FF0070C0"/>
  </sheetPr>
  <dimension ref="A1:R92"/>
  <sheetViews>
    <sheetView showGridLines="0" zoomScaleNormal="100" workbookViewId="0">
      <selection activeCell="A78" sqref="A78"/>
    </sheetView>
  </sheetViews>
  <sheetFormatPr defaultColWidth="9.28515625" defaultRowHeight="21" customHeight="1" x14ac:dyDescent="0.2"/>
  <cols>
    <col min="1" max="1" width="5.5703125" style="141" customWidth="1"/>
    <col min="2" max="2" width="5.5703125" style="135" customWidth="1"/>
    <col min="3" max="3" width="5.5703125" style="135" bestFit="1" customWidth="1"/>
    <col min="4" max="4" width="25.85546875" style="119" bestFit="1" customWidth="1"/>
    <col min="5" max="5" width="18.42578125" style="10" customWidth="1"/>
    <col min="6" max="6" width="4" style="9" bestFit="1" customWidth="1"/>
    <col min="7" max="7" width="7.140625" style="122" customWidth="1"/>
    <col min="8" max="8" width="15.5703125" style="9" customWidth="1"/>
    <col min="9" max="9" width="6.42578125" style="9" customWidth="1"/>
    <col min="10" max="10" width="9.28515625" style="9"/>
    <col min="11" max="15" width="7.5703125" style="9" customWidth="1"/>
    <col min="16" max="16384" width="9.28515625" style="9"/>
  </cols>
  <sheetData>
    <row r="1" spans="1:18" s="46" customFormat="1" ht="9" customHeight="1" x14ac:dyDescent="0.2">
      <c r="A1" s="141"/>
      <c r="B1" s="135"/>
      <c r="C1" s="135"/>
      <c r="D1" s="119"/>
      <c r="E1" s="10"/>
      <c r="F1" s="9"/>
      <c r="G1" s="122"/>
      <c r="H1" s="9"/>
      <c r="I1" s="9"/>
      <c r="J1" s="9"/>
      <c r="Q1" s="9"/>
      <c r="R1" s="9"/>
    </row>
    <row r="2" spans="1:18" s="46" customFormat="1" ht="21" customHeight="1" thickBot="1" x14ac:dyDescent="0.25">
      <c r="A2" s="141"/>
      <c r="B2" s="136"/>
      <c r="C2" s="136"/>
      <c r="D2" s="48" t="s">
        <v>29</v>
      </c>
      <c r="E2" s="147"/>
      <c r="F2" s="9"/>
      <c r="G2" s="119"/>
      <c r="H2" s="11"/>
      <c r="I2" s="11"/>
      <c r="J2" s="11"/>
      <c r="K2" s="11"/>
      <c r="L2" s="11"/>
      <c r="M2" s="9"/>
      <c r="N2" s="9"/>
    </row>
    <row r="3" spans="1:18" s="11" customFormat="1" ht="21" customHeight="1" thickTop="1" x14ac:dyDescent="0.2">
      <c r="A3" s="142"/>
      <c r="B3" s="146" t="s">
        <v>30</v>
      </c>
      <c r="C3" s="137" t="s">
        <v>31</v>
      </c>
      <c r="D3" s="133" t="s">
        <v>32</v>
      </c>
      <c r="E3" s="148" t="s">
        <v>33</v>
      </c>
      <c r="F3" s="134" t="s">
        <v>34</v>
      </c>
      <c r="G3" s="119"/>
    </row>
    <row r="4" spans="1:18" ht="21" customHeight="1" x14ac:dyDescent="0.2">
      <c r="A4" s="141">
        <v>17</v>
      </c>
      <c r="B4" s="125">
        <v>5</v>
      </c>
      <c r="C4" s="125">
        <v>5</v>
      </c>
      <c r="D4" s="9" t="s">
        <v>35</v>
      </c>
      <c r="E4" s="10" t="s">
        <v>36</v>
      </c>
    </row>
    <row r="5" spans="1:18" ht="21" customHeight="1" x14ac:dyDescent="0.2">
      <c r="A5" s="141">
        <v>48</v>
      </c>
      <c r="B5" s="125">
        <v>4</v>
      </c>
      <c r="C5" s="125">
        <v>4</v>
      </c>
      <c r="D5" s="9" t="s">
        <v>38</v>
      </c>
      <c r="E5" s="10" t="s">
        <v>36</v>
      </c>
    </row>
    <row r="6" spans="1:18" ht="21" customHeight="1" x14ac:dyDescent="0.2">
      <c r="A6" s="141">
        <v>70</v>
      </c>
      <c r="B6" s="125">
        <v>1</v>
      </c>
      <c r="C6" s="125">
        <v>1</v>
      </c>
      <c r="D6" s="9" t="s">
        <v>39</v>
      </c>
      <c r="E6" s="145" t="s">
        <v>36</v>
      </c>
      <c r="G6" s="123"/>
    </row>
    <row r="7" spans="1:18" ht="21" customHeight="1" x14ac:dyDescent="0.2">
      <c r="A7" s="141">
        <v>101</v>
      </c>
      <c r="B7" s="125">
        <v>1</v>
      </c>
      <c r="C7" s="125">
        <v>1</v>
      </c>
      <c r="D7" s="9" t="s">
        <v>40</v>
      </c>
      <c r="E7" s="10" t="s">
        <v>36</v>
      </c>
      <c r="G7" s="124"/>
    </row>
    <row r="8" spans="1:18" ht="21" customHeight="1" x14ac:dyDescent="0.2">
      <c r="A8" s="141">
        <v>103</v>
      </c>
      <c r="B8" s="135">
        <v>2</v>
      </c>
      <c r="C8" s="135">
        <v>2</v>
      </c>
      <c r="D8" s="119" t="s">
        <v>41</v>
      </c>
      <c r="E8" s="10" t="s">
        <v>36</v>
      </c>
      <c r="G8" s="124"/>
    </row>
    <row r="9" spans="1:18" ht="21" customHeight="1" x14ac:dyDescent="0.2">
      <c r="A9" s="141">
        <v>130</v>
      </c>
      <c r="B9" s="135">
        <v>1</v>
      </c>
      <c r="C9" s="135">
        <v>1</v>
      </c>
      <c r="D9" s="119" t="s">
        <v>42</v>
      </c>
      <c r="E9" s="10" t="s">
        <v>36</v>
      </c>
      <c r="G9" s="124"/>
    </row>
    <row r="10" spans="1:18" ht="21" customHeight="1" x14ac:dyDescent="0.2">
      <c r="A10" s="141">
        <v>24</v>
      </c>
      <c r="B10" s="125">
        <v>1</v>
      </c>
      <c r="C10" s="125">
        <v>1</v>
      </c>
      <c r="D10" s="9" t="s">
        <v>43</v>
      </c>
      <c r="E10" s="10" t="s">
        <v>44</v>
      </c>
    </row>
    <row r="11" spans="1:18" ht="21" customHeight="1" x14ac:dyDescent="0.2">
      <c r="A11" s="141">
        <v>90</v>
      </c>
      <c r="B11" s="125">
        <v>1</v>
      </c>
      <c r="C11" s="125">
        <v>1</v>
      </c>
      <c r="D11" s="9" t="s">
        <v>45</v>
      </c>
      <c r="E11" s="145" t="s">
        <v>44</v>
      </c>
    </row>
    <row r="12" spans="1:18" ht="21" customHeight="1" x14ac:dyDescent="0.2">
      <c r="A12" s="141">
        <v>121</v>
      </c>
      <c r="B12" s="125">
        <v>4</v>
      </c>
      <c r="C12" s="125">
        <v>4</v>
      </c>
      <c r="D12" s="9" t="s">
        <v>46</v>
      </c>
      <c r="E12" s="10" t="s">
        <v>44</v>
      </c>
    </row>
    <row r="13" spans="1:18" ht="21" customHeight="1" x14ac:dyDescent="0.2">
      <c r="A13" s="142">
        <v>138</v>
      </c>
      <c r="B13" s="125">
        <v>3</v>
      </c>
      <c r="C13" s="125">
        <v>3</v>
      </c>
      <c r="D13" s="9" t="s">
        <v>47</v>
      </c>
      <c r="E13" s="10" t="s">
        <v>44</v>
      </c>
      <c r="F13" s="11"/>
    </row>
    <row r="14" spans="1:18" ht="21" customHeight="1" x14ac:dyDescent="0.2">
      <c r="A14" s="141">
        <v>139</v>
      </c>
      <c r="B14" s="125">
        <v>3</v>
      </c>
      <c r="C14" s="125">
        <v>3</v>
      </c>
      <c r="D14" s="9" t="s">
        <v>48</v>
      </c>
      <c r="E14" s="10" t="s">
        <v>44</v>
      </c>
    </row>
    <row r="15" spans="1:18" ht="21" customHeight="1" x14ac:dyDescent="0.2">
      <c r="A15" s="141">
        <v>2</v>
      </c>
      <c r="B15" s="125">
        <v>1</v>
      </c>
      <c r="C15" s="125">
        <v>1</v>
      </c>
      <c r="D15" s="9" t="s">
        <v>49</v>
      </c>
      <c r="E15" s="10" t="s">
        <v>50</v>
      </c>
    </row>
    <row r="16" spans="1:18" ht="21" customHeight="1" x14ac:dyDescent="0.2">
      <c r="A16" s="141">
        <v>35</v>
      </c>
      <c r="B16" s="125">
        <v>1</v>
      </c>
      <c r="C16" s="125">
        <v>1</v>
      </c>
      <c r="D16" s="9" t="s">
        <v>51</v>
      </c>
      <c r="E16" s="10" t="s">
        <v>50</v>
      </c>
    </row>
    <row r="17" spans="1:5" ht="21" customHeight="1" x14ac:dyDescent="0.2">
      <c r="A17" s="141">
        <v>59</v>
      </c>
      <c r="B17" s="125">
        <v>1</v>
      </c>
      <c r="C17" s="125">
        <v>1</v>
      </c>
      <c r="D17" s="9" t="s">
        <v>301</v>
      </c>
      <c r="E17" s="10" t="s">
        <v>50</v>
      </c>
    </row>
    <row r="18" spans="1:5" ht="21" customHeight="1" x14ac:dyDescent="0.2">
      <c r="A18" s="141">
        <v>77</v>
      </c>
      <c r="B18" s="125">
        <v>3</v>
      </c>
      <c r="C18" s="125">
        <v>3</v>
      </c>
      <c r="D18" s="9" t="s">
        <v>53</v>
      </c>
      <c r="E18" s="10" t="s">
        <v>50</v>
      </c>
    </row>
    <row r="19" spans="1:5" ht="21" customHeight="1" x14ac:dyDescent="0.2">
      <c r="A19" s="141">
        <v>95</v>
      </c>
      <c r="B19" s="125">
        <v>3</v>
      </c>
      <c r="C19" s="125">
        <v>3</v>
      </c>
      <c r="D19" s="9" t="s">
        <v>54</v>
      </c>
      <c r="E19" s="10" t="s">
        <v>50</v>
      </c>
    </row>
    <row r="20" spans="1:5" ht="21" customHeight="1" x14ac:dyDescent="0.2">
      <c r="A20" s="141">
        <v>119</v>
      </c>
      <c r="B20" s="125">
        <v>1</v>
      </c>
      <c r="C20" s="125">
        <v>1</v>
      </c>
      <c r="D20" s="9" t="s">
        <v>56</v>
      </c>
      <c r="E20" s="10" t="s">
        <v>50</v>
      </c>
    </row>
    <row r="21" spans="1:5" ht="21" customHeight="1" x14ac:dyDescent="0.2">
      <c r="A21" s="141">
        <v>141</v>
      </c>
      <c r="B21" s="125">
        <v>2</v>
      </c>
      <c r="C21" s="125">
        <v>2</v>
      </c>
      <c r="D21" s="9" t="s">
        <v>57</v>
      </c>
      <c r="E21" s="10" t="s">
        <v>50</v>
      </c>
    </row>
    <row r="22" spans="1:5" ht="21" customHeight="1" x14ac:dyDescent="0.2">
      <c r="A22" s="141">
        <v>13</v>
      </c>
      <c r="B22" s="125">
        <v>1</v>
      </c>
      <c r="C22" s="125">
        <v>1</v>
      </c>
      <c r="D22" s="9" t="s">
        <v>58</v>
      </c>
      <c r="E22" s="10" t="s">
        <v>59</v>
      </c>
    </row>
    <row r="23" spans="1:5" ht="21" customHeight="1" x14ac:dyDescent="0.2">
      <c r="A23" s="141">
        <v>14</v>
      </c>
      <c r="B23" s="125">
        <v>1</v>
      </c>
      <c r="C23" s="125">
        <v>1</v>
      </c>
      <c r="D23" s="9" t="s">
        <v>60</v>
      </c>
      <c r="E23" s="10" t="s">
        <v>59</v>
      </c>
    </row>
    <row r="24" spans="1:5" ht="21" customHeight="1" x14ac:dyDescent="0.2">
      <c r="A24" s="141">
        <v>26</v>
      </c>
      <c r="B24" s="125">
        <v>1</v>
      </c>
      <c r="C24" s="125">
        <v>1</v>
      </c>
      <c r="D24" s="9" t="s">
        <v>61</v>
      </c>
      <c r="E24" s="10" t="s">
        <v>59</v>
      </c>
    </row>
    <row r="25" spans="1:5" ht="21" customHeight="1" x14ac:dyDescent="0.2">
      <c r="A25" s="141">
        <v>129</v>
      </c>
      <c r="B25" s="125">
        <v>1</v>
      </c>
      <c r="C25" s="125">
        <v>1</v>
      </c>
      <c r="D25" s="9" t="s">
        <v>64</v>
      </c>
      <c r="E25" s="10" t="s">
        <v>59</v>
      </c>
    </row>
    <row r="26" spans="1:5" ht="21" customHeight="1" x14ac:dyDescent="0.2">
      <c r="A26" s="141">
        <v>137</v>
      </c>
      <c r="B26" s="125">
        <v>1</v>
      </c>
      <c r="C26" s="125">
        <v>1</v>
      </c>
      <c r="D26" s="9" t="s">
        <v>65</v>
      </c>
      <c r="E26" s="10" t="s">
        <v>59</v>
      </c>
    </row>
    <row r="27" spans="1:5" ht="21" customHeight="1" x14ac:dyDescent="0.2">
      <c r="A27" s="141">
        <v>150</v>
      </c>
      <c r="B27" s="125">
        <v>1</v>
      </c>
      <c r="C27" s="125">
        <v>1</v>
      </c>
      <c r="D27" s="9" t="s">
        <v>377</v>
      </c>
      <c r="E27" s="10" t="s">
        <v>59</v>
      </c>
    </row>
    <row r="28" spans="1:5" ht="21" customHeight="1" x14ac:dyDescent="0.2">
      <c r="A28" s="141">
        <v>5</v>
      </c>
      <c r="B28" s="125">
        <v>1</v>
      </c>
      <c r="C28" s="135">
        <v>1</v>
      </c>
      <c r="D28" s="11" t="s">
        <v>68</v>
      </c>
      <c r="E28" s="12" t="s">
        <v>69</v>
      </c>
    </row>
    <row r="29" spans="1:5" ht="21" customHeight="1" x14ac:dyDescent="0.2">
      <c r="A29" s="141">
        <v>10</v>
      </c>
      <c r="B29" s="125">
        <v>1</v>
      </c>
      <c r="C29" s="135">
        <v>1</v>
      </c>
      <c r="D29" s="119" t="s">
        <v>70</v>
      </c>
      <c r="E29" s="10" t="s">
        <v>69</v>
      </c>
    </row>
    <row r="30" spans="1:5" ht="21" customHeight="1" x14ac:dyDescent="0.2">
      <c r="A30" s="141">
        <v>11</v>
      </c>
      <c r="B30" s="125">
        <v>1</v>
      </c>
      <c r="C30" s="135">
        <v>1</v>
      </c>
      <c r="D30" s="11" t="s">
        <v>71</v>
      </c>
      <c r="E30" s="12" t="s">
        <v>69</v>
      </c>
    </row>
    <row r="31" spans="1:5" ht="21" customHeight="1" x14ac:dyDescent="0.2">
      <c r="A31" s="141">
        <v>31</v>
      </c>
      <c r="B31" s="135">
        <v>6</v>
      </c>
      <c r="C31" s="135">
        <v>6</v>
      </c>
      <c r="D31" s="119" t="s">
        <v>72</v>
      </c>
      <c r="E31" s="10" t="s">
        <v>69</v>
      </c>
    </row>
    <row r="32" spans="1:5" ht="21" customHeight="1" x14ac:dyDescent="0.2">
      <c r="A32" s="141">
        <v>47</v>
      </c>
      <c r="B32" s="125">
        <v>1</v>
      </c>
      <c r="C32" s="125">
        <v>1</v>
      </c>
      <c r="D32" s="9" t="s">
        <v>73</v>
      </c>
      <c r="E32" s="145" t="s">
        <v>69</v>
      </c>
    </row>
    <row r="33" spans="1:6" ht="21" customHeight="1" x14ac:dyDescent="0.2">
      <c r="A33" s="141">
        <v>55</v>
      </c>
      <c r="B33" s="125">
        <v>3</v>
      </c>
      <c r="C33" s="125">
        <v>3</v>
      </c>
      <c r="D33" s="9" t="s">
        <v>74</v>
      </c>
      <c r="E33" s="10" t="s">
        <v>69</v>
      </c>
    </row>
    <row r="34" spans="1:6" ht="21" customHeight="1" x14ac:dyDescent="0.2">
      <c r="A34" s="141">
        <v>67</v>
      </c>
      <c r="B34" s="125">
        <v>1</v>
      </c>
      <c r="C34" s="125">
        <v>1</v>
      </c>
      <c r="D34" s="9" t="s">
        <v>75</v>
      </c>
      <c r="E34" s="10" t="s">
        <v>69</v>
      </c>
    </row>
    <row r="35" spans="1:6" ht="21" customHeight="1" x14ac:dyDescent="0.2">
      <c r="A35" s="141">
        <v>68</v>
      </c>
      <c r="B35" s="125">
        <v>1</v>
      </c>
      <c r="C35" s="125">
        <v>1</v>
      </c>
      <c r="D35" s="9" t="s">
        <v>76</v>
      </c>
      <c r="E35" s="145" t="s">
        <v>69</v>
      </c>
    </row>
    <row r="36" spans="1:6" ht="21" customHeight="1" x14ac:dyDescent="0.2">
      <c r="A36" s="141">
        <v>69</v>
      </c>
      <c r="B36" s="125">
        <v>1</v>
      </c>
      <c r="C36" s="125">
        <v>1</v>
      </c>
      <c r="D36" s="9" t="s">
        <v>77</v>
      </c>
      <c r="E36" s="10" t="s">
        <v>69</v>
      </c>
    </row>
    <row r="37" spans="1:6" ht="21" customHeight="1" x14ac:dyDescent="0.2">
      <c r="A37" s="141">
        <v>74</v>
      </c>
      <c r="B37" s="125">
        <v>4</v>
      </c>
      <c r="C37" s="125">
        <v>4</v>
      </c>
      <c r="D37" s="9" t="s">
        <v>78</v>
      </c>
      <c r="E37" s="10" t="s">
        <v>69</v>
      </c>
    </row>
    <row r="38" spans="1:6" ht="21" customHeight="1" x14ac:dyDescent="0.2">
      <c r="A38" s="141">
        <v>75</v>
      </c>
      <c r="B38" s="125">
        <v>2</v>
      </c>
      <c r="C38" s="125">
        <v>2</v>
      </c>
      <c r="D38" s="9" t="s">
        <v>79</v>
      </c>
      <c r="E38" s="10" t="s">
        <v>69</v>
      </c>
    </row>
    <row r="39" spans="1:6" ht="21" customHeight="1" x14ac:dyDescent="0.2">
      <c r="A39" s="141">
        <v>76</v>
      </c>
      <c r="B39" s="125">
        <v>1</v>
      </c>
      <c r="C39" s="125">
        <v>1</v>
      </c>
      <c r="D39" s="9" t="s">
        <v>80</v>
      </c>
      <c r="E39" s="10" t="s">
        <v>69</v>
      </c>
    </row>
    <row r="40" spans="1:6" ht="21" customHeight="1" x14ac:dyDescent="0.2">
      <c r="A40" s="141">
        <v>86</v>
      </c>
      <c r="B40" s="125">
        <v>1</v>
      </c>
      <c r="C40" s="125">
        <v>1</v>
      </c>
      <c r="D40" s="9" t="s">
        <v>81</v>
      </c>
      <c r="E40" s="10" t="s">
        <v>69</v>
      </c>
    </row>
    <row r="41" spans="1:6" ht="21" customHeight="1" x14ac:dyDescent="0.2">
      <c r="A41" s="141">
        <v>131</v>
      </c>
      <c r="B41" s="125">
        <v>1</v>
      </c>
      <c r="C41" s="125">
        <v>1</v>
      </c>
      <c r="D41" s="9" t="s">
        <v>82</v>
      </c>
      <c r="E41" s="145" t="s">
        <v>69</v>
      </c>
    </row>
    <row r="42" spans="1:6" ht="21" customHeight="1" x14ac:dyDescent="0.2">
      <c r="A42" s="142">
        <v>92</v>
      </c>
      <c r="B42" s="125">
        <v>1</v>
      </c>
      <c r="C42" s="125">
        <v>1</v>
      </c>
      <c r="D42" s="9" t="s">
        <v>85</v>
      </c>
      <c r="E42" s="145" t="s">
        <v>84</v>
      </c>
      <c r="F42" s="11"/>
    </row>
    <row r="43" spans="1:6" ht="21" customHeight="1" x14ac:dyDescent="0.2">
      <c r="A43" s="141">
        <v>93</v>
      </c>
      <c r="B43" s="125">
        <v>1</v>
      </c>
      <c r="C43" s="125">
        <v>1</v>
      </c>
      <c r="D43" s="9" t="s">
        <v>326</v>
      </c>
      <c r="E43" s="10" t="s">
        <v>84</v>
      </c>
    </row>
    <row r="44" spans="1:6" ht="21" customHeight="1" x14ac:dyDescent="0.2">
      <c r="A44" s="141">
        <v>63</v>
      </c>
      <c r="B44" s="125">
        <v>1</v>
      </c>
      <c r="C44" s="125">
        <v>1</v>
      </c>
      <c r="D44" s="9" t="s">
        <v>144</v>
      </c>
      <c r="E44" s="10" t="s">
        <v>87</v>
      </c>
    </row>
    <row r="45" spans="1:6" ht="21" customHeight="1" x14ac:dyDescent="0.2">
      <c r="A45" s="141">
        <v>64</v>
      </c>
      <c r="B45" s="135">
        <v>1</v>
      </c>
      <c r="C45" s="135">
        <v>1</v>
      </c>
      <c r="D45" s="119" t="s">
        <v>90</v>
      </c>
      <c r="E45" s="10" t="s">
        <v>87</v>
      </c>
    </row>
    <row r="46" spans="1:6" ht="21" customHeight="1" x14ac:dyDescent="0.2">
      <c r="A46" s="141">
        <v>72</v>
      </c>
      <c r="B46" s="125">
        <v>1</v>
      </c>
      <c r="C46" s="125">
        <v>1</v>
      </c>
      <c r="D46" s="9" t="s">
        <v>91</v>
      </c>
      <c r="E46" s="10" t="s">
        <v>87</v>
      </c>
    </row>
    <row r="47" spans="1:6" ht="21" customHeight="1" x14ac:dyDescent="0.2">
      <c r="A47" s="141">
        <v>73</v>
      </c>
      <c r="B47" s="125">
        <v>2</v>
      </c>
      <c r="C47" s="125">
        <v>2</v>
      </c>
      <c r="D47" s="9" t="s">
        <v>92</v>
      </c>
      <c r="E47" s="10" t="s">
        <v>87</v>
      </c>
    </row>
    <row r="48" spans="1:6" ht="21" customHeight="1" x14ac:dyDescent="0.2">
      <c r="A48" s="141">
        <v>78</v>
      </c>
      <c r="B48" s="125">
        <v>6</v>
      </c>
      <c r="C48" s="125">
        <v>6</v>
      </c>
      <c r="D48" s="9" t="s">
        <v>93</v>
      </c>
      <c r="E48" s="145" t="s">
        <v>87</v>
      </c>
    </row>
    <row r="49" spans="1:10" ht="21" customHeight="1" x14ac:dyDescent="0.2">
      <c r="A49" s="141">
        <v>79</v>
      </c>
      <c r="B49" s="125">
        <v>2</v>
      </c>
      <c r="C49" s="125">
        <v>2</v>
      </c>
      <c r="D49" s="9" t="s">
        <v>94</v>
      </c>
      <c r="E49" s="10" t="s">
        <v>87</v>
      </c>
    </row>
    <row r="50" spans="1:10" ht="21" customHeight="1" x14ac:dyDescent="0.2">
      <c r="A50" s="141">
        <v>84</v>
      </c>
      <c r="B50" s="125">
        <v>2</v>
      </c>
      <c r="C50" s="125">
        <v>2</v>
      </c>
      <c r="D50" s="9" t="s">
        <v>95</v>
      </c>
      <c r="E50" s="10" t="s">
        <v>87</v>
      </c>
    </row>
    <row r="51" spans="1:10" ht="21" customHeight="1" x14ac:dyDescent="0.2">
      <c r="A51" s="141">
        <v>85</v>
      </c>
      <c r="B51" s="135">
        <v>2</v>
      </c>
      <c r="C51" s="135">
        <v>2</v>
      </c>
      <c r="D51" s="119" t="s">
        <v>96</v>
      </c>
      <c r="E51" s="10" t="s">
        <v>87</v>
      </c>
    </row>
    <row r="52" spans="1:10" ht="21" customHeight="1" x14ac:dyDescent="0.2">
      <c r="A52" s="141">
        <v>99</v>
      </c>
      <c r="B52" s="125">
        <v>2</v>
      </c>
      <c r="C52" s="125">
        <v>2</v>
      </c>
      <c r="D52" s="9" t="s">
        <v>20</v>
      </c>
      <c r="E52" s="10" t="s">
        <v>87</v>
      </c>
    </row>
    <row r="53" spans="1:10" ht="21" customHeight="1" x14ac:dyDescent="0.2">
      <c r="A53" s="141">
        <v>107</v>
      </c>
      <c r="B53" s="125" t="s">
        <v>415</v>
      </c>
      <c r="C53" s="125" t="s">
        <v>415</v>
      </c>
      <c r="D53" s="9" t="s">
        <v>338</v>
      </c>
      <c r="E53" s="10" t="s">
        <v>87</v>
      </c>
    </row>
    <row r="54" spans="1:10" ht="21" customHeight="1" x14ac:dyDescent="0.2">
      <c r="A54" s="141">
        <v>117</v>
      </c>
      <c r="B54" s="135">
        <v>1</v>
      </c>
      <c r="C54" s="135">
        <v>1</v>
      </c>
      <c r="D54" s="119" t="s">
        <v>98</v>
      </c>
      <c r="E54" s="10" t="s">
        <v>87</v>
      </c>
    </row>
    <row r="55" spans="1:10" ht="21" customHeight="1" x14ac:dyDescent="0.2">
      <c r="A55" s="141">
        <v>123</v>
      </c>
      <c r="B55" s="125">
        <v>2</v>
      </c>
      <c r="C55" s="125">
        <v>2</v>
      </c>
      <c r="D55" s="9" t="s">
        <v>352</v>
      </c>
      <c r="E55" s="145" t="s">
        <v>87</v>
      </c>
    </row>
    <row r="56" spans="1:10" ht="21" customHeight="1" x14ac:dyDescent="0.2">
      <c r="A56" s="141">
        <v>124</v>
      </c>
      <c r="B56" s="125">
        <v>1</v>
      </c>
      <c r="C56" s="125">
        <v>1</v>
      </c>
      <c r="D56" s="9" t="s">
        <v>99</v>
      </c>
      <c r="E56" s="10" t="s">
        <v>87</v>
      </c>
    </row>
    <row r="57" spans="1:10" ht="21" customHeight="1" x14ac:dyDescent="0.2">
      <c r="A57" s="141">
        <v>125</v>
      </c>
      <c r="B57" s="125">
        <v>1</v>
      </c>
      <c r="C57" s="125">
        <v>1</v>
      </c>
      <c r="D57" s="9" t="s">
        <v>355</v>
      </c>
      <c r="E57" s="10" t="s">
        <v>87</v>
      </c>
    </row>
    <row r="58" spans="1:10" ht="21" customHeight="1" x14ac:dyDescent="0.2">
      <c r="A58" s="141">
        <v>126</v>
      </c>
      <c r="B58" s="135">
        <v>1</v>
      </c>
      <c r="C58" s="135">
        <v>1</v>
      </c>
      <c r="D58" s="119" t="s">
        <v>356</v>
      </c>
      <c r="E58" s="10" t="s">
        <v>87</v>
      </c>
    </row>
    <row r="59" spans="1:10" ht="21" customHeight="1" x14ac:dyDescent="0.2">
      <c r="A59" s="141">
        <v>134</v>
      </c>
      <c r="B59" s="135">
        <v>1</v>
      </c>
      <c r="C59" s="125">
        <v>1</v>
      </c>
      <c r="D59" s="9" t="s">
        <v>363</v>
      </c>
      <c r="E59" s="10" t="s">
        <v>87</v>
      </c>
      <c r="G59" s="119"/>
    </row>
    <row r="60" spans="1:10" ht="21" customHeight="1" x14ac:dyDescent="0.2">
      <c r="A60" s="141">
        <v>144</v>
      </c>
      <c r="B60" s="125">
        <v>1</v>
      </c>
      <c r="C60" s="125">
        <v>1</v>
      </c>
      <c r="D60" s="9" t="s">
        <v>147</v>
      </c>
      <c r="E60" s="145" t="s">
        <v>87</v>
      </c>
      <c r="G60" s="119"/>
    </row>
    <row r="61" spans="1:10" s="11" customFormat="1" ht="21" customHeight="1" x14ac:dyDescent="0.2">
      <c r="A61" s="141">
        <v>6</v>
      </c>
      <c r="B61" s="125">
        <v>2</v>
      </c>
      <c r="C61" s="125">
        <v>2</v>
      </c>
      <c r="D61" s="9" t="s">
        <v>100</v>
      </c>
      <c r="E61" s="145" t="s">
        <v>101</v>
      </c>
      <c r="F61" s="9"/>
      <c r="G61" s="122"/>
    </row>
    <row r="62" spans="1:10" s="11" customFormat="1" ht="21" customHeight="1" x14ac:dyDescent="0.2">
      <c r="A62" s="141">
        <v>22</v>
      </c>
      <c r="B62" s="135" t="s">
        <v>133</v>
      </c>
      <c r="C62" s="125" t="s">
        <v>133</v>
      </c>
      <c r="D62" s="9" t="s">
        <v>267</v>
      </c>
      <c r="E62" s="10" t="s">
        <v>101</v>
      </c>
      <c r="F62" s="9"/>
      <c r="G62" s="122"/>
      <c r="J62" s="9" t="s">
        <v>265</v>
      </c>
    </row>
    <row r="63" spans="1:10" ht="21" customHeight="1" x14ac:dyDescent="0.2">
      <c r="A63" s="141">
        <v>30</v>
      </c>
      <c r="B63" s="135">
        <v>2</v>
      </c>
      <c r="C63" s="135">
        <v>2</v>
      </c>
      <c r="D63" s="119" t="s">
        <v>103</v>
      </c>
      <c r="E63" s="10" t="s">
        <v>101</v>
      </c>
      <c r="J63" s="9" t="s">
        <v>267</v>
      </c>
    </row>
    <row r="64" spans="1:10" ht="21" customHeight="1" x14ac:dyDescent="0.2">
      <c r="A64" s="141">
        <v>46</v>
      </c>
      <c r="B64" s="135">
        <v>1</v>
      </c>
      <c r="C64" s="135">
        <v>1</v>
      </c>
      <c r="D64" s="119" t="s">
        <v>104</v>
      </c>
      <c r="E64" s="10" t="s">
        <v>101</v>
      </c>
      <c r="J64" s="119" t="s">
        <v>107</v>
      </c>
    </row>
    <row r="65" spans="1:10" ht="21" customHeight="1" x14ac:dyDescent="0.2">
      <c r="A65" s="141">
        <v>54</v>
      </c>
      <c r="B65" s="135" t="s">
        <v>133</v>
      </c>
      <c r="C65" s="125" t="s">
        <v>133</v>
      </c>
      <c r="D65" s="9" t="s">
        <v>134</v>
      </c>
      <c r="E65" s="10" t="s">
        <v>101</v>
      </c>
    </row>
    <row r="66" spans="1:10" ht="21" customHeight="1" x14ac:dyDescent="0.2">
      <c r="A66" s="141">
        <v>58</v>
      </c>
      <c r="B66" s="125">
        <v>1</v>
      </c>
      <c r="C66" s="125">
        <v>1</v>
      </c>
      <c r="D66" s="9" t="s">
        <v>105</v>
      </c>
      <c r="E66" s="10" t="s">
        <v>101</v>
      </c>
    </row>
    <row r="67" spans="1:10" ht="21" customHeight="1" x14ac:dyDescent="0.2">
      <c r="A67" s="141">
        <v>61</v>
      </c>
      <c r="B67" s="125">
        <v>1</v>
      </c>
      <c r="C67" s="125">
        <v>1</v>
      </c>
      <c r="D67" s="9" t="s">
        <v>106</v>
      </c>
      <c r="E67" s="10" t="s">
        <v>101</v>
      </c>
    </row>
    <row r="68" spans="1:10" ht="21" customHeight="1" x14ac:dyDescent="0.2">
      <c r="A68" s="141">
        <v>66</v>
      </c>
      <c r="B68" s="125">
        <v>1</v>
      </c>
      <c r="C68" s="125">
        <v>1</v>
      </c>
      <c r="D68" s="9" t="s">
        <v>107</v>
      </c>
      <c r="E68" s="145" t="s">
        <v>101</v>
      </c>
    </row>
    <row r="69" spans="1:10" ht="21" customHeight="1" x14ac:dyDescent="0.2">
      <c r="A69" s="141">
        <v>104</v>
      </c>
      <c r="B69" s="125">
        <v>3</v>
      </c>
      <c r="C69" s="125">
        <v>3</v>
      </c>
      <c r="D69" s="9" t="s">
        <v>335</v>
      </c>
      <c r="E69" s="10" t="s">
        <v>101</v>
      </c>
      <c r="J69" s="119"/>
    </row>
    <row r="70" spans="1:10" ht="21" customHeight="1" x14ac:dyDescent="0.2">
      <c r="A70" s="141">
        <v>108</v>
      </c>
      <c r="B70" s="135">
        <v>4</v>
      </c>
      <c r="C70" s="135">
        <v>4</v>
      </c>
      <c r="D70" s="119" t="s">
        <v>340</v>
      </c>
      <c r="E70" s="10" t="s">
        <v>101</v>
      </c>
    </row>
    <row r="71" spans="1:10" ht="21" customHeight="1" x14ac:dyDescent="0.2">
      <c r="A71" s="141">
        <v>120</v>
      </c>
      <c r="B71" s="125">
        <v>4</v>
      </c>
      <c r="C71" s="125">
        <v>4</v>
      </c>
      <c r="D71" s="9" t="s">
        <v>349</v>
      </c>
      <c r="E71" s="145" t="s">
        <v>101</v>
      </c>
    </row>
    <row r="72" spans="1:10" ht="21" customHeight="1" x14ac:dyDescent="0.2">
      <c r="A72" s="141">
        <v>122</v>
      </c>
      <c r="B72" s="135">
        <v>2</v>
      </c>
      <c r="C72" s="135">
        <v>2</v>
      </c>
      <c r="D72" s="119" t="s">
        <v>110</v>
      </c>
      <c r="E72" s="10" t="s">
        <v>101</v>
      </c>
      <c r="J72" s="119"/>
    </row>
    <row r="73" spans="1:10" ht="21" customHeight="1" x14ac:dyDescent="0.2">
      <c r="A73" s="141">
        <v>147</v>
      </c>
      <c r="B73" s="135">
        <v>6</v>
      </c>
      <c r="C73" s="135">
        <v>6</v>
      </c>
      <c r="D73" s="119" t="s">
        <v>112</v>
      </c>
      <c r="E73" s="10" t="s">
        <v>101</v>
      </c>
      <c r="J73" s="9" t="s">
        <v>111</v>
      </c>
    </row>
    <row r="74" spans="1:10" ht="21" customHeight="1" x14ac:dyDescent="0.2">
      <c r="B74" s="125"/>
      <c r="C74" s="125"/>
      <c r="D74" s="9"/>
      <c r="J74" s="9" t="s">
        <v>112</v>
      </c>
    </row>
    <row r="75" spans="1:10" ht="21" customHeight="1" x14ac:dyDescent="0.2">
      <c r="B75" s="125"/>
      <c r="C75" s="125"/>
      <c r="D75" s="9"/>
    </row>
    <row r="76" spans="1:10" ht="21" customHeight="1" x14ac:dyDescent="0.2">
      <c r="B76" s="125"/>
    </row>
    <row r="77" spans="1:10" ht="21" customHeight="1" x14ac:dyDescent="0.2">
      <c r="B77" s="125"/>
      <c r="C77" s="125"/>
      <c r="D77" s="9"/>
    </row>
    <row r="78" spans="1:10" ht="21" customHeight="1" x14ac:dyDescent="0.2">
      <c r="B78" s="125"/>
      <c r="C78" s="125"/>
      <c r="D78" s="9"/>
      <c r="E78" s="145"/>
    </row>
    <row r="79" spans="1:10" ht="21" customHeight="1" x14ac:dyDescent="0.2">
      <c r="B79" s="125"/>
      <c r="C79" s="125"/>
      <c r="D79" s="9"/>
      <c r="E79" s="145"/>
    </row>
    <row r="80" spans="1:10" ht="21" customHeight="1" x14ac:dyDescent="0.2">
      <c r="B80" s="125"/>
      <c r="E80" s="145"/>
    </row>
    <row r="81" spans="2:5" ht="21" customHeight="1" x14ac:dyDescent="0.2">
      <c r="B81" s="125"/>
      <c r="C81" s="125"/>
      <c r="D81" s="9"/>
    </row>
    <row r="82" spans="2:5" ht="21" customHeight="1" x14ac:dyDescent="0.2">
      <c r="B82" s="125"/>
    </row>
    <row r="83" spans="2:5" ht="21" customHeight="1" x14ac:dyDescent="0.2">
      <c r="C83" s="125"/>
      <c r="D83" s="9"/>
    </row>
    <row r="84" spans="2:5" ht="21" customHeight="1" x14ac:dyDescent="0.2">
      <c r="B84" s="125"/>
      <c r="C84" s="125"/>
      <c r="D84" s="9"/>
    </row>
    <row r="85" spans="2:5" ht="21" customHeight="1" x14ac:dyDescent="0.2">
      <c r="B85" s="125"/>
      <c r="D85" s="11"/>
      <c r="E85" s="12"/>
    </row>
    <row r="87" spans="2:5" ht="21" customHeight="1" x14ac:dyDescent="0.2">
      <c r="B87" s="125"/>
      <c r="C87" s="125"/>
      <c r="D87" s="9"/>
    </row>
    <row r="88" spans="2:5" ht="21" customHeight="1" x14ac:dyDescent="0.2">
      <c r="B88" s="125"/>
      <c r="C88" s="125"/>
      <c r="D88" s="9"/>
    </row>
    <row r="90" spans="2:5" ht="21" customHeight="1" x14ac:dyDescent="0.2">
      <c r="B90" s="125"/>
      <c r="C90" s="125"/>
      <c r="D90" s="9"/>
    </row>
    <row r="91" spans="2:5" ht="21" customHeight="1" x14ac:dyDescent="0.2">
      <c r="B91" s="125"/>
      <c r="C91" s="125"/>
      <c r="D91" s="9"/>
    </row>
    <row r="92" spans="2:5" ht="21" customHeight="1" x14ac:dyDescent="0.2">
      <c r="B92" s="125"/>
      <c r="C92" s="125"/>
      <c r="D92" s="9"/>
    </row>
  </sheetData>
  <autoFilter ref="A3:F84" xr:uid="{47FEF22E-82DC-42A3-9B74-F40F0874A244}"/>
  <sortState xmlns:xlrd2="http://schemas.microsoft.com/office/spreadsheetml/2017/richdata2" ref="A4:F73">
    <sortCondition ref="E4"/>
    <sortCondition ref="D4"/>
  </sortState>
  <conditionalFormatting sqref="C75:E101">
    <cfRule type="expression" dxfId="70" priority="6">
      <formula>$E75&lt;&gt;$E76</formula>
    </cfRule>
  </conditionalFormatting>
  <conditionalFormatting sqref="B4:E101 J62:J63 J69:J74 J65:J67">
    <cfRule type="expression" dxfId="69" priority="3">
      <formula>AND($B4=0,$B4&lt;&gt;"")</formula>
    </cfRule>
    <cfRule type="expression" dxfId="68" priority="4">
      <formula>$F4&lt;&gt;""</formula>
    </cfRule>
  </conditionalFormatting>
  <conditionalFormatting sqref="J64">
    <cfRule type="expression" dxfId="67" priority="372">
      <formula>AND($B68=0,$B68&lt;&gt;"")</formula>
    </cfRule>
    <cfRule type="expression" dxfId="66" priority="373">
      <formula>$F68&lt;&gt;""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4CA6-6A59-4546-8C55-C57A8A85ED3F}">
  <sheetPr codeName="wsCompras">
    <tabColor rgb="FF0070C0"/>
  </sheetPr>
  <dimension ref="A1:J148"/>
  <sheetViews>
    <sheetView showGridLines="0" zoomScaleNormal="100" workbookViewId="0">
      <selection activeCell="B4" sqref="B4:D78"/>
    </sheetView>
  </sheetViews>
  <sheetFormatPr defaultColWidth="9.28515625" defaultRowHeight="21" customHeight="1" x14ac:dyDescent="0.2"/>
  <cols>
    <col min="1" max="1" width="2.7109375" style="143" customWidth="1"/>
    <col min="2" max="2" width="5.5703125" style="116" customWidth="1"/>
    <col min="3" max="3" width="25.140625" style="116" customWidth="1"/>
    <col min="4" max="4" width="32.7109375" style="140" customWidth="1"/>
    <col min="5" max="5" width="11.42578125" style="131" customWidth="1"/>
    <col min="6" max="7" width="9.28515625" style="116"/>
    <col min="8" max="8" width="9.28515625" style="129" customWidth="1"/>
    <col min="9" max="9" width="9.28515625" style="69"/>
    <col min="10" max="11" width="12.42578125" style="69" customWidth="1"/>
    <col min="12" max="16384" width="9.28515625" style="69"/>
  </cols>
  <sheetData>
    <row r="1" spans="1:10" s="11" customFormat="1" ht="9" customHeight="1" x14ac:dyDescent="0.2">
      <c r="A1" s="141"/>
      <c r="B1" s="135"/>
      <c r="C1" s="119"/>
      <c r="D1" s="138"/>
      <c r="E1" s="130"/>
      <c r="F1" s="115"/>
      <c r="G1" s="115"/>
      <c r="H1" s="126"/>
    </row>
    <row r="2" spans="1:10" s="11" customFormat="1" ht="21" customHeight="1" thickBot="1" x14ac:dyDescent="0.25">
      <c r="A2" s="141"/>
      <c r="B2" s="136"/>
      <c r="C2" s="47" t="s">
        <v>113</v>
      </c>
      <c r="D2" s="139"/>
      <c r="E2" s="130"/>
      <c r="H2" s="126"/>
      <c r="I2" s="118" t="s">
        <v>407</v>
      </c>
    </row>
    <row r="3" spans="1:10" s="9" customFormat="1" ht="21" customHeight="1" thickTop="1" x14ac:dyDescent="0.2">
      <c r="A3" s="143"/>
      <c r="B3" s="137" t="s">
        <v>31</v>
      </c>
      <c r="C3" s="133" t="s">
        <v>32</v>
      </c>
      <c r="D3" s="134" t="s">
        <v>114</v>
      </c>
      <c r="E3" s="134" t="s">
        <v>115</v>
      </c>
      <c r="F3"/>
      <c r="G3"/>
      <c r="H3" s="127" t="str" cm="1">
        <f t="array" ref="H3">"https://www.continente.pt/"&amp;SUBSTITUTE(SUBSTITUTE(SUBSTITUTE(StripAccent(D3),",","")," - ","/")," ","-")&amp;"/"</f>
        <v>https://www.continente.pt/Categoria/</v>
      </c>
    </row>
    <row r="4" spans="1:10" s="18" customFormat="1" ht="21" customHeight="1" x14ac:dyDescent="0.2">
      <c r="A4" s="143">
        <v>2</v>
      </c>
      <c r="B4" s="153">
        <v>1</v>
      </c>
      <c r="C4" s="154" t="s">
        <v>49</v>
      </c>
      <c r="D4" s="155" t="s">
        <v>231</v>
      </c>
      <c r="E4" s="157" t="s">
        <v>115</v>
      </c>
      <c r="F4" s="117"/>
      <c r="G4" s="117"/>
      <c r="H4" s="127" t="str" cm="1">
        <f t="array" ref="H4">"https://www.continente.pt/"&amp;SUBSTITUTE(SUBSTITUTE(SUBSTITUTE(StripAccent(D4),",","")," - ","/")," ","-")&amp;"/"</f>
        <v>https://www.continente.pt/Mercearia/Acucar-e-Sobremesas/Acucar-e-Adocante/</v>
      </c>
    </row>
    <row r="5" spans="1:10" ht="21" customHeight="1" x14ac:dyDescent="0.2">
      <c r="A5" s="143">
        <v>5</v>
      </c>
      <c r="B5" s="153">
        <v>1</v>
      </c>
      <c r="C5" s="154" t="s">
        <v>68</v>
      </c>
      <c r="D5" s="155" t="s">
        <v>245</v>
      </c>
      <c r="E5" s="157" t="s">
        <v>115</v>
      </c>
      <c r="H5" s="127" t="str" cm="1">
        <f t="array" ref="H5">"https://www.continente.pt/"&amp;SUBSTITUTE(SUBSTITUTE(SUBSTITUTE(StripAccent(D5),",","")," - ","/")," ","-")&amp;"/"</f>
        <v>https://www.continente.pt/Frutas-e-Legumes/Legumes/Cebola-Alho-e-Nabo/</v>
      </c>
    </row>
    <row r="6" spans="1:10" s="18" customFormat="1" ht="21" customHeight="1" x14ac:dyDescent="0.2">
      <c r="A6" s="143">
        <v>6</v>
      </c>
      <c r="B6" s="115">
        <v>2</v>
      </c>
      <c r="C6" s="116" t="s">
        <v>100</v>
      </c>
      <c r="D6" s="158" t="s">
        <v>246</v>
      </c>
      <c r="E6" s="156" t="s">
        <v>115</v>
      </c>
      <c r="F6" s="117"/>
      <c r="G6" s="117"/>
      <c r="H6" s="127" t="str" cm="1">
        <f t="array" ref="H6">"https://www.continente.pt/"&amp;SUBSTITUTE(SUBSTITUTE(SUBSTITUTE(StripAccent(D6),",","")," - ","/")," ","-")&amp;"/"</f>
        <v>https://www.continente.pt/Congelados/Frutas-e-Legumes/Legumes-Congelados/</v>
      </c>
    </row>
    <row r="7" spans="1:10" s="18" customFormat="1" ht="21" customHeight="1" x14ac:dyDescent="0.2">
      <c r="A7" s="144">
        <v>10</v>
      </c>
      <c r="B7" s="116">
        <v>1</v>
      </c>
      <c r="C7" s="124" t="s">
        <v>70</v>
      </c>
      <c r="D7" s="158" t="s">
        <v>251</v>
      </c>
      <c r="E7" s="156" t="s">
        <v>115</v>
      </c>
      <c r="F7" s="117"/>
      <c r="G7" s="117"/>
      <c r="H7" s="127" t="str" cm="1">
        <f t="array" ref="H7">"https://www.continente.pt/"&amp;SUBSTITUTE(SUBSTITUTE(SUBSTITUTE(StripAccent(D7),",","")," - ","/")," ","-")&amp;"/"</f>
        <v>https://www.continente.pt/Mercearia/Arroz-Massa-e-Farinha/Arroz/</v>
      </c>
    </row>
    <row r="8" spans="1:10" s="18" customFormat="1" ht="21" customHeight="1" x14ac:dyDescent="0.2">
      <c r="A8" s="144">
        <v>11</v>
      </c>
      <c r="B8" s="115">
        <v>1</v>
      </c>
      <c r="C8" s="116" t="s">
        <v>71</v>
      </c>
      <c r="D8" s="158" t="s">
        <v>251</v>
      </c>
      <c r="E8" s="115"/>
      <c r="F8" s="117"/>
      <c r="G8" s="117"/>
      <c r="H8" s="127" t="str" cm="1">
        <f t="array" ref="H8">"https://www.continente.pt/"&amp;SUBSTITUTE(SUBSTITUTE(SUBSTITUTE(StripAccent(D8),",","")," - ","/")," ","-")&amp;"/"</f>
        <v>https://www.continente.pt/Mercearia/Arroz-Massa-e-Farinha/Arroz/</v>
      </c>
      <c r="J8" s="69"/>
    </row>
    <row r="9" spans="1:10" s="18" customFormat="1" ht="21" customHeight="1" x14ac:dyDescent="0.2">
      <c r="A9" s="143">
        <v>13</v>
      </c>
      <c r="B9" s="115">
        <v>1</v>
      </c>
      <c r="C9" s="116" t="s">
        <v>58</v>
      </c>
      <c r="D9" s="158" t="s">
        <v>255</v>
      </c>
      <c r="E9" s="156" t="s">
        <v>115</v>
      </c>
      <c r="F9" s="117"/>
      <c r="G9" s="117"/>
      <c r="H9" s="127" t="str" cm="1">
        <f t="array" ref="H9">"https://www.continente.pt/"&amp;SUBSTITUTE(SUBSTITUTE(SUBSTITUTE(StripAccent(D9),",","")," - ","/")," ","-")&amp;"/"</f>
        <v>https://www.continente.pt/Mercearia/Azeite-Oleo-e-Vinagre/Azeite/</v>
      </c>
      <c r="J9" s="69"/>
    </row>
    <row r="10" spans="1:10" ht="21" customHeight="1" x14ac:dyDescent="0.2">
      <c r="A10" s="143">
        <v>16</v>
      </c>
      <c r="B10" s="115">
        <v>1</v>
      </c>
      <c r="C10" s="116" t="s">
        <v>86</v>
      </c>
      <c r="D10" s="158" t="s">
        <v>259</v>
      </c>
      <c r="E10" s="156" t="s">
        <v>115</v>
      </c>
      <c r="H10" s="127" t="str" cm="1">
        <f t="array" ref="H10">"https://www.continente.pt/"&amp;SUBSTITUTE(SUBSTITUTE(SUBSTITUTE(StripAccent(D10),",","")," - ","/")," ","-")&amp;"/"</f>
        <v>https://www.continente.pt/Charcutaria-e-Queijos/Charcutaria/Bacon-e-Fumados/</v>
      </c>
      <c r="J10" s="18"/>
    </row>
    <row r="11" spans="1:10" ht="21" customHeight="1" x14ac:dyDescent="0.2">
      <c r="A11" s="143">
        <v>17</v>
      </c>
      <c r="B11" s="115">
        <v>5</v>
      </c>
      <c r="C11" s="116" t="s">
        <v>35</v>
      </c>
      <c r="D11" s="158" t="s">
        <v>261</v>
      </c>
      <c r="E11" s="156" t="s">
        <v>115</v>
      </c>
      <c r="H11" s="127" t="str" cm="1">
        <f t="array" ref="H11">"https://www.continente.pt/"&amp;SUBSTITUTE(SUBSTITUTE(SUBSTITUTE(StripAccent(D11),",","")," - ","/")," ","-")&amp;"/"</f>
        <v>https://www.continente.pt/Frutas-e-Legumes/Frutas/Banana-Maca-e-Pera/</v>
      </c>
      <c r="J11" s="18"/>
    </row>
    <row r="12" spans="1:10" ht="21" customHeight="1" x14ac:dyDescent="0.2">
      <c r="A12" s="144">
        <v>19</v>
      </c>
      <c r="B12" s="153">
        <v>500</v>
      </c>
      <c r="C12" s="154" t="s">
        <v>37</v>
      </c>
      <c r="D12" s="155" t="s">
        <v>264</v>
      </c>
      <c r="E12" s="157" t="s">
        <v>115</v>
      </c>
      <c r="H12" s="127" t="str" cm="1">
        <f t="array" ref="H12">"https://www.continente.pt/"&amp;SUBSTITUTE(SUBSTITUTE(SUBSTITUTE(StripAccent(D12),",","")," - ","/")," ","-")&amp;"/"</f>
        <v>https://www.continente.pt/Frutas-e-Legumes/Legumes/Batata-Batata-Doce-e-Mandioca/</v>
      </c>
    </row>
    <row r="13" spans="1:10" s="18" customFormat="1" ht="21" customHeight="1" x14ac:dyDescent="0.2">
      <c r="A13" s="143">
        <v>23</v>
      </c>
      <c r="B13" s="153">
        <v>800</v>
      </c>
      <c r="C13" s="154" t="s">
        <v>269</v>
      </c>
      <c r="D13" s="155" t="s">
        <v>268</v>
      </c>
      <c r="E13" s="157" t="s">
        <v>115</v>
      </c>
      <c r="F13" s="117"/>
      <c r="G13" s="117"/>
      <c r="H13" s="127" t="str" cm="1">
        <f t="array" ref="H13">"https://www.continente.pt/"&amp;SUBSTITUTE(SUBSTITUTE(SUBSTITUTE(StripAccent(D13),",","")," - ","/")," ","-")&amp;"/"</f>
        <v>https://www.continente.pt/Peixaria-e-Talho/Talho/Frango-e-Peru/</v>
      </c>
    </row>
    <row r="14" spans="1:10" s="18" customFormat="1" ht="21" customHeight="1" x14ac:dyDescent="0.2">
      <c r="A14" s="144">
        <v>24</v>
      </c>
      <c r="B14" s="115">
        <v>1</v>
      </c>
      <c r="C14" s="116" t="s">
        <v>43</v>
      </c>
      <c r="D14" s="158" t="s">
        <v>270</v>
      </c>
      <c r="E14" s="156" t="s">
        <v>115</v>
      </c>
      <c r="F14" s="117"/>
      <c r="G14" s="117"/>
      <c r="H14" s="127" t="str" cm="1">
        <f t="array" ref="H14">"https://www.continente.pt/"&amp;SUBSTITUTE(SUBSTITUTE(SUBSTITUTE(StripAccent(D14),",","")," - ","/")," ","-")&amp;"/"</f>
        <v>https://www.continente.pt/Mercearia/Bolachas-Biscoitos-e-Tostas/</v>
      </c>
    </row>
    <row r="15" spans="1:10" ht="21" customHeight="1" x14ac:dyDescent="0.2">
      <c r="A15" s="143">
        <v>26</v>
      </c>
      <c r="B15" s="115">
        <v>1</v>
      </c>
      <c r="C15" s="116" t="s">
        <v>61</v>
      </c>
      <c r="D15" s="158" t="s">
        <v>272</v>
      </c>
      <c r="E15" s="156" t="s">
        <v>115</v>
      </c>
      <c r="H15" s="127" t="str" cm="1">
        <f t="array" ref="H15">"https://www.continente.pt/"&amp;SUBSTITUTE(SUBSTITUTE(SUBSTITUTE(StripAccent(D15),",","")," - ","/")," ","-")&amp;"/"</f>
        <v>https://www.continente.pt/Mercearia/Molhos-Temperos-e-Sal/Caldos/</v>
      </c>
    </row>
    <row r="16" spans="1:10" s="18" customFormat="1" ht="21" customHeight="1" x14ac:dyDescent="0.2">
      <c r="A16" s="143">
        <v>27</v>
      </c>
      <c r="B16" s="115">
        <v>1</v>
      </c>
      <c r="C16" s="116" t="s">
        <v>273</v>
      </c>
      <c r="D16" s="158" t="s">
        <v>272</v>
      </c>
      <c r="E16" s="115"/>
      <c r="F16" s="116"/>
      <c r="G16" s="117"/>
      <c r="H16" s="127" t="str" cm="1">
        <f t="array" ref="H16">"https://www.continente.pt/"&amp;SUBSTITUTE(SUBSTITUTE(SUBSTITUTE(StripAccent(D16),",","")," - ","/")," ","-")&amp;"/"</f>
        <v>https://www.continente.pt/Mercearia/Molhos-Temperos-e-Sal/Caldos/</v>
      </c>
    </row>
    <row r="17" spans="1:10" s="18" customFormat="1" ht="21" customHeight="1" x14ac:dyDescent="0.2">
      <c r="A17" s="143">
        <v>28</v>
      </c>
      <c r="B17" s="153">
        <v>600</v>
      </c>
      <c r="C17" s="154" t="s">
        <v>274</v>
      </c>
      <c r="D17" s="155" t="s">
        <v>275</v>
      </c>
      <c r="E17" s="157" t="s">
        <v>115</v>
      </c>
      <c r="F17" s="116"/>
      <c r="G17" s="117"/>
      <c r="H17" s="127" t="str" cm="1">
        <f t="array" ref="H17">"https://www.continente.pt/"&amp;SUBSTITUTE(SUBSTITUTE(SUBSTITUTE(StripAccent(D17),",","")," - ","/")," ","-")&amp;"/"</f>
        <v>https://www.continente.pt/Peixaria-e-Talho/Talho/Novilho-Vitela-e-Vitelao/</v>
      </c>
      <c r="J17" s="69"/>
    </row>
    <row r="18" spans="1:10" ht="21" customHeight="1" x14ac:dyDescent="0.2">
      <c r="A18" s="143">
        <v>30</v>
      </c>
      <c r="B18" s="115">
        <v>2</v>
      </c>
      <c r="C18" s="116" t="s">
        <v>103</v>
      </c>
      <c r="D18" s="158" t="s">
        <v>246</v>
      </c>
      <c r="E18" s="115"/>
      <c r="H18" s="127" t="str" cm="1">
        <f t="array" ref="H18">"https://www.continente.pt/"&amp;SUBSTITUTE(SUBSTITUTE(SUBSTITUTE(StripAccent(D18),",","")," - ","/")," ","-")&amp;"/"</f>
        <v>https://www.continente.pt/Congelados/Frutas-e-Legumes/Legumes-Congelados/</v>
      </c>
      <c r="J18" s="18"/>
    </row>
    <row r="19" spans="1:10" s="18" customFormat="1" ht="21" customHeight="1" x14ac:dyDescent="0.2">
      <c r="A19" s="144">
        <v>31</v>
      </c>
      <c r="B19" s="115">
        <v>6</v>
      </c>
      <c r="C19" s="116" t="s">
        <v>72</v>
      </c>
      <c r="D19" s="158" t="s">
        <v>245</v>
      </c>
      <c r="E19" s="115"/>
      <c r="F19" s="116"/>
      <c r="G19" s="117"/>
      <c r="H19" s="127" t="str" cm="1">
        <f t="array" ref="H19">"https://www.continente.pt/"&amp;SUBSTITUTE(SUBSTITUTE(SUBSTITUTE(StripAccent(D19),",","")," - ","/")," ","-")&amp;"/"</f>
        <v>https://www.continente.pt/Frutas-e-Legumes/Legumes/Cebola-Alho-e-Nabo/</v>
      </c>
    </row>
    <row r="20" spans="1:10" ht="21" customHeight="1" x14ac:dyDescent="0.2">
      <c r="A20" s="144">
        <v>34</v>
      </c>
      <c r="B20" s="115">
        <v>2</v>
      </c>
      <c r="C20" s="116" t="s">
        <v>278</v>
      </c>
      <c r="D20" s="158" t="s">
        <v>279</v>
      </c>
      <c r="E20" s="156" t="s">
        <v>115</v>
      </c>
      <c r="H20" s="127" t="str" cm="1">
        <f t="array" ref="H20">"https://www.continente.pt/"&amp;SUBSTITUTE(SUBSTITUTE(SUBSTITUTE(StripAccent(D20),",","")," - ","/")," ","-")&amp;"/"</f>
        <v>https://www.continente.pt/Frutas-e-Legumes/Legumes/Cenoura-Abobora-e-Beterraba/</v>
      </c>
      <c r="J20" s="18"/>
    </row>
    <row r="21" spans="1:10" s="18" customFormat="1" ht="21" customHeight="1" x14ac:dyDescent="0.2">
      <c r="A21" s="144">
        <v>35</v>
      </c>
      <c r="B21" s="115">
        <v>1</v>
      </c>
      <c r="C21" s="116" t="s">
        <v>51</v>
      </c>
      <c r="D21" s="158" t="s">
        <v>280</v>
      </c>
      <c r="E21" s="156" t="s">
        <v>115</v>
      </c>
      <c r="F21" s="116"/>
      <c r="G21" s="117"/>
      <c r="H21" s="127" t="str" cm="1">
        <f t="array" ref="H21">"https://www.continente.pt/"&amp;SUBSTITUTE(SUBSTITUTE(SUBSTITUTE(StripAccent(D21),",","")," - ","/")," ","-")&amp;"/"</f>
        <v>https://www.continente.pt/Mercearia/Alimentacao-Infantil/Papas-Infantis/</v>
      </c>
      <c r="J21" s="69"/>
    </row>
    <row r="22" spans="1:10" s="18" customFormat="1" ht="21" customHeight="1" x14ac:dyDescent="0.2">
      <c r="A22" s="144">
        <v>37</v>
      </c>
      <c r="B22" s="115">
        <v>1</v>
      </c>
      <c r="C22" s="116" t="s">
        <v>283</v>
      </c>
      <c r="D22" s="158" t="s">
        <v>284</v>
      </c>
      <c r="E22" s="156" t="s">
        <v>115</v>
      </c>
      <c r="F22" s="116"/>
      <c r="G22" s="117"/>
      <c r="H22" s="127" t="str" cm="1">
        <f t="array" ref="H22">"https://www.continente.pt/"&amp;SUBSTITUTE(SUBSTITUTE(SUBSTITUTE(StripAccent(D22),",","")," - ","/")," ","-")&amp;"/"</f>
        <v>https://www.continente.pt/Charcutaria-e-Queijos/Charcutaria/Chourico-e-Morcela/</v>
      </c>
      <c r="J22" s="69"/>
    </row>
    <row r="23" spans="1:10" s="18" customFormat="1" ht="21" customHeight="1" x14ac:dyDescent="0.2">
      <c r="A23" s="144">
        <v>38</v>
      </c>
      <c r="B23" s="153">
        <v>1</v>
      </c>
      <c r="C23" s="154" t="s">
        <v>24</v>
      </c>
      <c r="D23" s="155" t="s">
        <v>285</v>
      </c>
      <c r="E23" s="157" t="s">
        <v>115</v>
      </c>
      <c r="F23" s="116"/>
      <c r="G23" s="117"/>
      <c r="H23" s="127" t="str" cm="1">
        <f t="array" ref="H23">"https://www.continente.pt/"&amp;SUBSTITUTE(SUBSTITUTE(SUBSTITUTE(StripAccent(D23),",","")," - ","/")," ","-")&amp;"/"</f>
        <v>https://www.continente.pt/Peixaria-e-Talho/Talho/Pato-e-Coelho/</v>
      </c>
    </row>
    <row r="24" spans="1:10" ht="21" customHeight="1" x14ac:dyDescent="0.2">
      <c r="A24" s="144">
        <v>40</v>
      </c>
      <c r="B24" s="115">
        <v>1</v>
      </c>
      <c r="C24" s="116" t="s">
        <v>143</v>
      </c>
      <c r="D24" s="158" t="s">
        <v>246</v>
      </c>
      <c r="E24" s="115"/>
      <c r="H24" s="127" t="str" cm="1">
        <f t="array" ref="H24">"https://www.continente.pt/"&amp;SUBSTITUTE(SUBSTITUTE(SUBSTITUTE(StripAccent(D24),",","")," - ","/")," ","-")&amp;"/"</f>
        <v>https://www.continente.pt/Congelados/Frutas-e-Legumes/Legumes-Congelados/</v>
      </c>
    </row>
    <row r="25" spans="1:10" ht="14.25" customHeight="1" x14ac:dyDescent="0.2">
      <c r="A25" s="143">
        <v>43</v>
      </c>
      <c r="B25" s="115">
        <v>1</v>
      </c>
      <c r="C25" s="116" t="s">
        <v>289</v>
      </c>
      <c r="D25" s="158" t="s">
        <v>290</v>
      </c>
      <c r="E25" s="156" t="s">
        <v>115</v>
      </c>
      <c r="H25" s="127" t="str" cm="1">
        <f t="array" ref="H25">"https://www.continente.pt/"&amp;SUBSTITUTE(SUBSTITUTE(SUBSTITUTE(StripAccent(D25),",","")," - ","/")," ","-")&amp;"/"</f>
        <v>https://www.continente.pt/Frutas-e-Legumes/Legumes/Couves-Brocolos-e-Espinafres/</v>
      </c>
      <c r="J25" s="18"/>
    </row>
    <row r="26" spans="1:10" s="18" customFormat="1" ht="21" customHeight="1" x14ac:dyDescent="0.2">
      <c r="A26" s="144">
        <v>46</v>
      </c>
      <c r="B26" s="115">
        <v>1</v>
      </c>
      <c r="C26" s="116" t="s">
        <v>104</v>
      </c>
      <c r="D26" s="158" t="s">
        <v>246</v>
      </c>
      <c r="E26" s="130"/>
      <c r="F26" s="116"/>
      <c r="G26" s="117"/>
      <c r="H26" s="127" t="str" cm="1">
        <f t="array" ref="H26">"https://www.continente.pt/"&amp;SUBSTITUTE(SUBSTITUTE(SUBSTITUTE(StripAccent(D26),",","")," - ","/")," ","-")&amp;"/"</f>
        <v>https://www.continente.pt/Congelados/Frutas-e-Legumes/Legumes-Congelados/</v>
      </c>
    </row>
    <row r="27" spans="1:10" ht="21" customHeight="1" x14ac:dyDescent="0.2">
      <c r="A27" s="144">
        <v>47</v>
      </c>
      <c r="B27" s="115">
        <v>1</v>
      </c>
      <c r="C27" s="116" t="s">
        <v>73</v>
      </c>
      <c r="D27" s="158" t="s">
        <v>292</v>
      </c>
      <c r="E27" s="156" t="s">
        <v>115</v>
      </c>
      <c r="H27" s="127" t="str" cm="1">
        <f t="array" ref="H27">"https://www.continente.pt/"&amp;SUBSTITUTE(SUBSTITUTE(SUBSTITUTE(StripAccent(D27),",","")," - ","/")," ","-")&amp;"/"</f>
        <v>https://www.continente.pt/Mercearia/Arroz-Massa-e-Farinha/Couscous-Quinoa-Bulgur-e-Outros/</v>
      </c>
      <c r="J27" s="18"/>
    </row>
    <row r="28" spans="1:10" s="18" customFormat="1" ht="14.25" customHeight="1" x14ac:dyDescent="0.2">
      <c r="A28" s="143">
        <v>48</v>
      </c>
      <c r="B28" s="115">
        <v>4</v>
      </c>
      <c r="C28" s="116" t="s">
        <v>38</v>
      </c>
      <c r="D28" s="158" t="s">
        <v>293</v>
      </c>
      <c r="E28" s="156" t="s">
        <v>115</v>
      </c>
      <c r="F28" s="116"/>
      <c r="G28" s="117"/>
      <c r="H28" s="127" t="str" cm="1">
        <f t="array" ref="H28">"https://www.continente.pt/"&amp;SUBSTITUTE(SUBSTITUTE(SUBSTITUTE(StripAccent(D28),",","")," - ","/")," ","-")&amp;"/"</f>
        <v>https://www.continente.pt/Beleza-e-Higiene/Homem/Desodorizantes/</v>
      </c>
      <c r="J28" s="69"/>
    </row>
    <row r="29" spans="1:10" s="18" customFormat="1" ht="21" customHeight="1" x14ac:dyDescent="0.2">
      <c r="A29" s="144">
        <v>50</v>
      </c>
      <c r="B29" s="115">
        <v>500</v>
      </c>
      <c r="C29" s="116" t="s">
        <v>295</v>
      </c>
      <c r="D29" s="158" t="s">
        <v>266</v>
      </c>
      <c r="E29" s="156" t="s">
        <v>115</v>
      </c>
      <c r="F29" s="116"/>
      <c r="G29" s="117"/>
      <c r="H29" s="127" t="str" cm="1">
        <f t="array" ref="H29">"https://www.continente.pt/"&amp;SUBSTITUTE(SUBSTITUTE(SUBSTITUTE(StripAccent(D29),",","")," - ","/")," ","-")&amp;"/"</f>
        <v>https://www.continente.pt/Peixaria-e-Talho/Talho/Porco/</v>
      </c>
      <c r="J29" s="69"/>
    </row>
    <row r="30" spans="1:10" s="18" customFormat="1" ht="21" customHeight="1" x14ac:dyDescent="0.2">
      <c r="A30" s="144">
        <v>55</v>
      </c>
      <c r="B30" s="115">
        <v>3</v>
      </c>
      <c r="C30" s="116" t="s">
        <v>74</v>
      </c>
      <c r="D30" s="158" t="s">
        <v>299</v>
      </c>
      <c r="E30" s="156" t="s">
        <v>115</v>
      </c>
      <c r="F30" s="116"/>
      <c r="G30" s="117"/>
      <c r="H30" s="127" t="str" cm="1">
        <f t="array" ref="H30">"https://www.continente.pt/"&amp;SUBSTITUTE(SUBSTITUTE(SUBSTITUTE(StripAccent(D30),",","")," - ","/")," ","-")&amp;"/"</f>
        <v>https://www.continente.pt/Mercearia/Arroz-Massa-e-Farinha/Massa/</v>
      </c>
      <c r="J30" s="69"/>
    </row>
    <row r="31" spans="1:10" s="18" customFormat="1" ht="21" customHeight="1" x14ac:dyDescent="0.2">
      <c r="A31" s="144">
        <v>56</v>
      </c>
      <c r="B31" s="115">
        <v>2</v>
      </c>
      <c r="C31" s="116" t="s">
        <v>121</v>
      </c>
      <c r="D31" s="158" t="s">
        <v>290</v>
      </c>
      <c r="E31" s="115"/>
      <c r="F31" s="116"/>
      <c r="G31" s="117"/>
      <c r="H31" s="127" t="str" cm="1">
        <f t="array" ref="H31">"https://www.continente.pt/"&amp;SUBSTITUTE(SUBSTITUTE(SUBSTITUTE(StripAccent(D31),",","")," - ","/")," ","-")&amp;"/"</f>
        <v>https://www.continente.pt/Frutas-e-Legumes/Legumes/Couves-Brocolos-e-Espinafres/</v>
      </c>
      <c r="J31" s="69"/>
    </row>
    <row r="32" spans="1:10" s="18" customFormat="1" ht="21" customHeight="1" x14ac:dyDescent="0.2">
      <c r="A32" s="144">
        <v>58</v>
      </c>
      <c r="B32" s="115">
        <v>1</v>
      </c>
      <c r="C32" s="116" t="s">
        <v>105</v>
      </c>
      <c r="D32" s="158" t="s">
        <v>246</v>
      </c>
      <c r="E32" s="130"/>
      <c r="F32" s="116"/>
      <c r="G32" s="117"/>
      <c r="H32" s="127" t="str" cm="1">
        <f t="array" ref="H32">"https://www.continente.pt/"&amp;SUBSTITUTE(SUBSTITUTE(SUBSTITUTE(StripAccent(D32),",","")," - ","/")," ","-")&amp;"/"</f>
        <v>https://www.continente.pt/Congelados/Frutas-e-Legumes/Legumes-Congelados/</v>
      </c>
      <c r="J32" s="69"/>
    </row>
    <row r="33" spans="1:10" s="18" customFormat="1" ht="21" customHeight="1" x14ac:dyDescent="0.2">
      <c r="A33" s="144">
        <v>59</v>
      </c>
      <c r="B33" s="115">
        <v>1</v>
      </c>
      <c r="C33" s="116" t="s">
        <v>301</v>
      </c>
      <c r="D33" s="158" t="s">
        <v>302</v>
      </c>
      <c r="E33" s="156" t="s">
        <v>115</v>
      </c>
      <c r="F33" s="116"/>
      <c r="G33" s="117"/>
      <c r="H33" s="127" t="str" cm="1">
        <f t="array" ref="H33">"https://www.continente.pt/"&amp;SUBSTITUTE(SUBSTITUTE(SUBSTITUTE(StripAccent(D33),",","")," - ","/")," ","-")&amp;"/"</f>
        <v>https://www.continente.pt/Mercearia/Arroz-Massa-e-Farinha/Farinha-e-Pao-Ralado/</v>
      </c>
      <c r="J33" s="69"/>
    </row>
    <row r="34" spans="1:10" s="18" customFormat="1" ht="21" customHeight="1" x14ac:dyDescent="0.2">
      <c r="A34" s="144">
        <v>61</v>
      </c>
      <c r="B34" s="115">
        <v>1</v>
      </c>
      <c r="C34" s="116" t="s">
        <v>106</v>
      </c>
      <c r="D34" s="158" t="s">
        <v>303</v>
      </c>
      <c r="E34" s="156" t="s">
        <v>115</v>
      </c>
      <c r="F34" s="116"/>
      <c r="G34" s="117"/>
      <c r="H34" s="127" t="str" cm="1">
        <f t="array" ref="H34">"https://www.continente.pt/"&amp;SUBSTITUTE(SUBSTITUTE(SUBSTITUTE(StripAccent(D34),",","")," - ","/")," ","-")&amp;"/"</f>
        <v>https://www.continente.pt/Congelados/Frutas-e-Legumes/Misturas-de-Legumes-Congelados/</v>
      </c>
      <c r="J34" s="69"/>
    </row>
    <row r="35" spans="1:10" s="18" customFormat="1" ht="21" customHeight="1" x14ac:dyDescent="0.2">
      <c r="A35" s="144">
        <v>62</v>
      </c>
      <c r="B35" s="115">
        <v>1</v>
      </c>
      <c r="C35" s="116" t="s">
        <v>304</v>
      </c>
      <c r="D35" s="158" t="s">
        <v>299</v>
      </c>
      <c r="E35" s="115"/>
      <c r="F35" s="116"/>
      <c r="G35" s="117"/>
      <c r="H35" s="127" t="str" cm="1">
        <f t="array" ref="H35">"https://www.continente.pt/"&amp;SUBSTITUTE(SUBSTITUTE(SUBSTITUTE(StripAccent(D35),",","")," - ","/")," ","-")&amp;"/"</f>
        <v>https://www.continente.pt/Mercearia/Arroz-Massa-e-Farinha/Massa/</v>
      </c>
      <c r="J35" s="69"/>
    </row>
    <row r="36" spans="1:10" s="18" customFormat="1" ht="21" customHeight="1" x14ac:dyDescent="0.2">
      <c r="A36" s="144">
        <v>64</v>
      </c>
      <c r="B36" s="116">
        <v>1</v>
      </c>
      <c r="C36" s="116" t="s">
        <v>90</v>
      </c>
      <c r="D36" s="158" t="s">
        <v>305</v>
      </c>
      <c r="E36" s="156" t="s">
        <v>115</v>
      </c>
      <c r="F36" s="116"/>
      <c r="G36" s="117"/>
      <c r="H36" s="127" t="str" cm="1">
        <f t="array" ref="H36">"https://www.continente.pt/"&amp;SUBSTITUTE(SUBSTITUTE(SUBSTITUTE(StripAccent(D36),",","")," - ","/")," ","-")&amp;"/"</f>
        <v>https://www.continente.pt/Charcutaria-e-Queijos/Charcutaria/Fiambre-Mortadela-e-Salame/</v>
      </c>
      <c r="J36" s="69"/>
    </row>
    <row r="37" spans="1:10" s="18" customFormat="1" ht="21" customHeight="1" x14ac:dyDescent="0.2">
      <c r="A37" s="144">
        <v>66</v>
      </c>
      <c r="B37" s="153">
        <v>1</v>
      </c>
      <c r="C37" s="154" t="s">
        <v>107</v>
      </c>
      <c r="D37" s="155" t="s">
        <v>268</v>
      </c>
      <c r="E37" s="159"/>
      <c r="F37" s="116"/>
      <c r="G37" s="117"/>
      <c r="H37" s="127" t="str" cm="1">
        <f t="array" ref="H37">"https://www.continente.pt/"&amp;SUBSTITUTE(SUBSTITUTE(SUBSTITUTE(StripAccent(D37),",","")," - ","/")," ","-")&amp;"/"</f>
        <v>https://www.continente.pt/Peixaria-e-Talho/Talho/Frango-e-Peru/</v>
      </c>
      <c r="J37" s="69"/>
    </row>
    <row r="38" spans="1:10" s="18" customFormat="1" ht="21" customHeight="1" x14ac:dyDescent="0.2">
      <c r="A38" s="143">
        <v>67</v>
      </c>
      <c r="B38" s="115">
        <v>1</v>
      </c>
      <c r="C38" s="116" t="s">
        <v>75</v>
      </c>
      <c r="D38" s="158" t="s">
        <v>308</v>
      </c>
      <c r="E38" s="156" t="s">
        <v>115</v>
      </c>
      <c r="F38" s="116"/>
      <c r="G38" s="117"/>
      <c r="H38" s="127" t="str" cm="1">
        <f t="array" ref="H38">"https://www.continente.pt/"&amp;SUBSTITUTE(SUBSTITUTE(SUBSTITUTE(StripAccent(D38),",","")," - ","/")," ","-")&amp;"/"</f>
        <v>https://www.continente.pt/Mercearia/Conservas/Feijao-e-Grao-de-Bico/</v>
      </c>
      <c r="J38" s="69"/>
    </row>
    <row r="39" spans="1:10" s="18" customFormat="1" ht="21" customHeight="1" x14ac:dyDescent="0.2">
      <c r="A39" s="144">
        <v>68</v>
      </c>
      <c r="B39" s="115">
        <v>1</v>
      </c>
      <c r="C39" s="116" t="s">
        <v>76</v>
      </c>
      <c r="D39" s="158" t="s">
        <v>308</v>
      </c>
      <c r="E39" s="115"/>
      <c r="F39" s="116"/>
      <c r="G39" s="117"/>
      <c r="H39" s="127" t="str" cm="1">
        <f t="array" ref="H39">"https://www.continente.pt/"&amp;SUBSTITUTE(SUBSTITUTE(SUBSTITUTE(StripAccent(D39),",","")," - ","/")," ","-")&amp;"/"</f>
        <v>https://www.continente.pt/Mercearia/Conservas/Feijao-e-Grao-de-Bico/</v>
      </c>
      <c r="J39" s="69"/>
    </row>
    <row r="40" spans="1:10" s="18" customFormat="1" ht="21" customHeight="1" x14ac:dyDescent="0.2">
      <c r="A40" s="144">
        <v>69</v>
      </c>
      <c r="B40" s="115">
        <v>1</v>
      </c>
      <c r="C40" s="116" t="s">
        <v>77</v>
      </c>
      <c r="D40" s="158" t="s">
        <v>308</v>
      </c>
      <c r="E40" s="115"/>
      <c r="F40" s="116"/>
      <c r="G40" s="117"/>
      <c r="H40" s="127" t="str" cm="1">
        <f t="array" ref="H40">"https://www.continente.pt/"&amp;SUBSTITUTE(SUBSTITUTE(SUBSTITUTE(StripAccent(D40),",","")," - ","/")," ","-")&amp;"/"</f>
        <v>https://www.continente.pt/Mercearia/Conservas/Feijao-e-Grao-de-Bico/</v>
      </c>
    </row>
    <row r="41" spans="1:10" s="18" customFormat="1" ht="21" customHeight="1" x14ac:dyDescent="0.2">
      <c r="A41" s="143">
        <v>70</v>
      </c>
      <c r="B41" s="115">
        <v>1</v>
      </c>
      <c r="C41" s="116" t="s">
        <v>39</v>
      </c>
      <c r="D41" s="158" t="s">
        <v>309</v>
      </c>
      <c r="E41" s="156" t="s">
        <v>115</v>
      </c>
      <c r="F41" s="116"/>
      <c r="G41" s="117"/>
      <c r="H41" s="127" t="str" cm="1">
        <f t="array" ref="H41">"https://www.continente.pt/"&amp;SUBSTITUTE(SUBSTITUTE(SUBSTITUTE(StripAccent(D41),",","")," - ","/")," ","-")&amp;"/"</f>
        <v>https://www.continente.pt/Limpeza/Guardanapos-Rolos-e-Peliculas/Guardanapos/</v>
      </c>
      <c r="J41" s="69"/>
    </row>
    <row r="42" spans="1:10" s="18" customFormat="1" ht="21" customHeight="1" x14ac:dyDescent="0.2">
      <c r="A42" s="143">
        <v>72</v>
      </c>
      <c r="B42" s="115">
        <v>1</v>
      </c>
      <c r="C42" s="116" t="s">
        <v>91</v>
      </c>
      <c r="D42" s="158" t="s">
        <v>311</v>
      </c>
      <c r="E42" s="156" t="s">
        <v>115</v>
      </c>
      <c r="F42" s="116"/>
      <c r="G42" s="117"/>
      <c r="H42" s="127" t="str" cm="1">
        <f t="array" ref="H42">"https://www.continente.pt/"&amp;SUBSTITUTE(SUBSTITUTE(SUBSTITUTE(StripAccent(D42),",","")," - ","/")," ","-")&amp;"/"</f>
        <v>https://www.continente.pt/Laticinios-e-Ovos/Iogurtes/Iogurtes-Gregos/</v>
      </c>
    </row>
    <row r="43" spans="1:10" s="18" customFormat="1" ht="21" customHeight="1" x14ac:dyDescent="0.2">
      <c r="A43" s="144">
        <v>73</v>
      </c>
      <c r="B43" s="115">
        <v>2</v>
      </c>
      <c r="C43" s="116" t="s">
        <v>92</v>
      </c>
      <c r="D43" s="158" t="s">
        <v>312</v>
      </c>
      <c r="E43" s="156" t="s">
        <v>115</v>
      </c>
      <c r="F43" s="116"/>
      <c r="G43" s="117"/>
      <c r="H43" s="127" t="str" cm="1">
        <f t="array" ref="H43">"https://www.continente.pt/"&amp;SUBSTITUTE(SUBSTITUTE(SUBSTITUTE(StripAccent(D43),",","")," - ","/")," ","-")&amp;"/"</f>
        <v>https://www.continente.pt/Laticinios-e-Ovos/Iogurtes/Iogurtes-Liquidos/</v>
      </c>
      <c r="J43" s="69"/>
    </row>
    <row r="44" spans="1:10" ht="21" customHeight="1" x14ac:dyDescent="0.2">
      <c r="A44" s="144">
        <v>74</v>
      </c>
      <c r="B44" s="115">
        <v>4</v>
      </c>
      <c r="C44" s="116" t="s">
        <v>78</v>
      </c>
      <c r="D44" s="158" t="s">
        <v>313</v>
      </c>
      <c r="E44" s="156" t="s">
        <v>115</v>
      </c>
      <c r="H44" s="127" t="str" cm="1">
        <f t="array" ref="H44">"https://www.continente.pt/"&amp;SUBSTITUTE(SUBSTITUTE(SUBSTITUTE(StripAccent(D44),",","")," - ","/")," ","-")&amp;"/"</f>
        <v>https://www.continente.pt/Mercearia/Conservas/Atum/</v>
      </c>
      <c r="J44" s="18"/>
    </row>
    <row r="45" spans="1:10" s="18" customFormat="1" ht="21" customHeight="1" x14ac:dyDescent="0.2">
      <c r="A45" s="143">
        <v>75</v>
      </c>
      <c r="B45" s="115">
        <v>2</v>
      </c>
      <c r="C45" s="116" t="s">
        <v>79</v>
      </c>
      <c r="D45" s="158" t="s">
        <v>308</v>
      </c>
      <c r="E45" s="115"/>
      <c r="F45" s="116"/>
      <c r="G45" s="117"/>
      <c r="H45" s="127" t="str" cm="1">
        <f t="array" ref="H45">"https://www.continente.pt/"&amp;SUBSTITUTE(SUBSTITUTE(SUBSTITUTE(StripAccent(D45),",","")," - ","/")," ","-")&amp;"/"</f>
        <v>https://www.continente.pt/Mercearia/Conservas/Feijao-e-Grao-de-Bico/</v>
      </c>
      <c r="J45" s="69"/>
    </row>
    <row r="46" spans="1:10" ht="21" customHeight="1" x14ac:dyDescent="0.2">
      <c r="A46" s="144">
        <v>76</v>
      </c>
      <c r="B46" s="115">
        <v>2</v>
      </c>
      <c r="C46" s="116" t="s">
        <v>80</v>
      </c>
      <c r="D46" s="158" t="s">
        <v>308</v>
      </c>
      <c r="E46" s="115"/>
      <c r="H46" s="127" t="str" cm="1">
        <f t="array" ref="H46">"https://www.continente.pt/"&amp;SUBSTITUTE(SUBSTITUTE(SUBSTITUTE(StripAccent(D46),",","")," - ","/")," ","-")&amp;"/"</f>
        <v>https://www.continente.pt/Mercearia/Conservas/Feijao-e-Grao-de-Bico/</v>
      </c>
      <c r="J46" s="18"/>
    </row>
    <row r="47" spans="1:10" s="18" customFormat="1" ht="21" customHeight="1" x14ac:dyDescent="0.2">
      <c r="A47" s="144">
        <v>77</v>
      </c>
      <c r="B47" s="115">
        <v>3</v>
      </c>
      <c r="C47" s="116" t="s">
        <v>53</v>
      </c>
      <c r="D47" s="158" t="s">
        <v>314</v>
      </c>
      <c r="E47" s="156" t="s">
        <v>115</v>
      </c>
      <c r="F47" s="116"/>
      <c r="G47" s="117"/>
      <c r="H47" s="127" t="str" cm="1">
        <f t="array" ref="H47">"https://www.continente.pt/"&amp;SUBSTITUTE(SUBSTITUTE(SUBSTITUTE(StripAccent(D47),",","")," - ","/")," ","-")&amp;"/"</f>
        <v>https://www.continente.pt/Mercearia/Conservas/Salsichas/</v>
      </c>
    </row>
    <row r="48" spans="1:10" ht="21" customHeight="1" x14ac:dyDescent="0.2">
      <c r="A48" s="144">
        <v>78</v>
      </c>
      <c r="B48" s="115">
        <v>6</v>
      </c>
      <c r="C48" s="116" t="s">
        <v>93</v>
      </c>
      <c r="D48" s="158" t="s">
        <v>315</v>
      </c>
      <c r="E48" s="156" t="s">
        <v>115</v>
      </c>
      <c r="H48" s="127" t="str" cm="1">
        <f t="array" ref="H48">"https://www.continente.pt/"&amp;SUBSTITUTE(SUBSTITUTE(SUBSTITUTE(StripAccent(D48),",","")," - ","/")," ","-")&amp;"/"</f>
        <v>https://www.continente.pt/Laticinios-e-Ovos/Leite/Leite-Meio-Gordo/</v>
      </c>
      <c r="J48" s="18"/>
    </row>
    <row r="49" spans="1:10" s="18" customFormat="1" ht="21" customHeight="1" x14ac:dyDescent="0.2">
      <c r="A49" s="143">
        <v>79</v>
      </c>
      <c r="B49" s="115">
        <v>4</v>
      </c>
      <c r="C49" s="116" t="s">
        <v>94</v>
      </c>
      <c r="D49" s="158" t="s">
        <v>316</v>
      </c>
      <c r="E49" s="156" t="s">
        <v>115</v>
      </c>
      <c r="F49" s="116"/>
      <c r="G49" s="117"/>
      <c r="H49" s="127" t="str" cm="1">
        <f t="array" ref="H49">"https://www.continente.pt/"&amp;SUBSTITUTE(SUBSTITUTE(SUBSTITUTE(StripAccent(D49),",","")," - ","/")," ","-")&amp;"/"</f>
        <v>https://www.continente.pt/Frutas-e-Legumes/Frutas/Laranja-Clementina-e-Limao/</v>
      </c>
      <c r="J49" s="69"/>
    </row>
    <row r="50" spans="1:10" s="18" customFormat="1" ht="21" customHeight="1" x14ac:dyDescent="0.2">
      <c r="A50" s="143">
        <v>80</v>
      </c>
      <c r="B50" s="115">
        <v>1</v>
      </c>
      <c r="C50" s="116" t="s">
        <v>62</v>
      </c>
      <c r="D50" s="158" t="s">
        <v>239</v>
      </c>
      <c r="E50" s="156" t="s">
        <v>115</v>
      </c>
      <c r="F50" s="116"/>
      <c r="G50" s="117"/>
      <c r="H50" s="127" t="str" cm="1">
        <f t="array" ref="H50">"https://www.continente.pt/"&amp;SUBSTITUTE(SUBSTITUTE(SUBSTITUTE(StripAccent(D50),",","")," - ","/")," ","-")&amp;"/"</f>
        <v>https://www.continente.pt/Mercearia/Molhos-Temperos-e-Sal/Especiarias-e-Ervas-Aromaticas/</v>
      </c>
    </row>
    <row r="51" spans="1:10" s="18" customFormat="1" ht="21" customHeight="1" x14ac:dyDescent="0.2">
      <c r="A51" s="143">
        <v>81</v>
      </c>
      <c r="B51" s="115">
        <v>1</v>
      </c>
      <c r="C51" s="116" t="s">
        <v>317</v>
      </c>
      <c r="D51" s="158" t="s">
        <v>299</v>
      </c>
      <c r="E51" s="115"/>
      <c r="F51" s="116"/>
      <c r="G51" s="117"/>
      <c r="H51" s="127" t="str" cm="1">
        <f t="array" ref="H51">"https://www.continente.pt/"&amp;SUBSTITUTE(SUBSTITUTE(SUBSTITUTE(StripAccent(D51),",","")," - ","/")," ","-")&amp;"/"</f>
        <v>https://www.continente.pt/Mercearia/Arroz-Massa-e-Farinha/Massa/</v>
      </c>
      <c r="J51" s="69"/>
    </row>
    <row r="52" spans="1:10" ht="21" customHeight="1" x14ac:dyDescent="0.2">
      <c r="A52" s="144">
        <v>82</v>
      </c>
      <c r="B52" s="115">
        <v>1</v>
      </c>
      <c r="C52" s="116" t="s">
        <v>318</v>
      </c>
      <c r="D52" s="158" t="s">
        <v>299</v>
      </c>
      <c r="E52" s="115"/>
      <c r="H52" s="127" t="str" cm="1">
        <f t="array" ref="H52">"https://www.continente.pt/"&amp;SUBSTITUTE(SUBSTITUTE(SUBSTITUTE(StripAccent(D52),",","")," - ","/")," ","-")&amp;"/"</f>
        <v>https://www.continente.pt/Mercearia/Arroz-Massa-e-Farinha/Massa/</v>
      </c>
    </row>
    <row r="53" spans="1:10" s="18" customFormat="1" ht="21" customHeight="1" x14ac:dyDescent="0.2">
      <c r="A53" s="144">
        <v>84</v>
      </c>
      <c r="B53" s="115">
        <v>2</v>
      </c>
      <c r="C53" s="116" t="s">
        <v>95</v>
      </c>
      <c r="D53" s="158" t="s">
        <v>320</v>
      </c>
      <c r="E53" s="156" t="s">
        <v>115</v>
      </c>
      <c r="F53" s="116"/>
      <c r="G53" s="117"/>
      <c r="H53" s="127" t="str" cm="1">
        <f t="array" ref="H53">"https://www.continente.pt/"&amp;SUBSTITUTE(SUBSTITUTE(SUBSTITUTE(StripAccent(D53),",","")," - ","/")," ","-")&amp;"/"</f>
        <v>https://www.continente.pt/Laticinios-e-Ovos/Manteigas-e-Cremes-para-Barrar/Manteigas/</v>
      </c>
    </row>
    <row r="54" spans="1:10" ht="21" customHeight="1" x14ac:dyDescent="0.2">
      <c r="A54" s="144">
        <v>85</v>
      </c>
      <c r="B54" s="115">
        <v>2</v>
      </c>
      <c r="C54" s="116" t="s">
        <v>96</v>
      </c>
      <c r="D54" s="158" t="s">
        <v>321</v>
      </c>
      <c r="E54" s="156" t="s">
        <v>115</v>
      </c>
      <c r="H54" s="127" t="str" cm="1">
        <f t="array" ref="H54">"https://www.continente.pt/"&amp;SUBSTITUTE(SUBSTITUTE(SUBSTITUTE(StripAccent(D54),",","")," - ","/")," ","-")&amp;"/"</f>
        <v>https://www.continente.pt/Laticinios-e-Ovos/Manteigas-e-Cremes-para-Barrar/Cremes-para-Barrar/</v>
      </c>
      <c r="J54" s="18"/>
    </row>
    <row r="55" spans="1:10" ht="21" customHeight="1" x14ac:dyDescent="0.2">
      <c r="A55" s="144">
        <v>90</v>
      </c>
      <c r="B55" s="115">
        <v>1</v>
      </c>
      <c r="C55" s="116" t="s">
        <v>45</v>
      </c>
      <c r="D55" s="158" t="s">
        <v>324</v>
      </c>
      <c r="E55" s="156" t="s">
        <v>115</v>
      </c>
      <c r="H55" s="127" t="str" cm="1">
        <f t="array" ref="H55">"https://www.continente.pt/"&amp;SUBSTITUTE(SUBSTITUTE(SUBSTITUTE(StripAccent(D55),",","")," - ","/")," ","-")&amp;"/"</f>
        <v>https://www.continente.pt/Mercearia/Conservas/Cogumelos-Milho-Ervilhas/</v>
      </c>
      <c r="J55" s="18"/>
    </row>
    <row r="56" spans="1:10" s="18" customFormat="1" ht="21" customHeight="1" x14ac:dyDescent="0.2">
      <c r="A56" s="144">
        <v>92</v>
      </c>
      <c r="B56" s="115">
        <v>1</v>
      </c>
      <c r="C56" s="116" t="s">
        <v>85</v>
      </c>
      <c r="D56" s="158" t="s">
        <v>322</v>
      </c>
      <c r="E56" s="156" t="s">
        <v>115</v>
      </c>
      <c r="F56" s="116"/>
      <c r="G56" s="117"/>
      <c r="H56" s="127" t="str" cm="1">
        <f t="array" ref="H56">"https://www.continente.pt/"&amp;SUBSTITUTE(SUBSTITUTE(SUBSTITUTE(StripAccent(D56),",","")," - ","/")," ","-")&amp;"/"</f>
        <v>https://www.continente.pt/Mercearia/Molhos-Temperos-e-Sal/Molhos/</v>
      </c>
    </row>
    <row r="57" spans="1:10" s="18" customFormat="1" ht="21" customHeight="1" x14ac:dyDescent="0.2">
      <c r="A57" s="144">
        <v>94</v>
      </c>
      <c r="B57" s="115">
        <v>1</v>
      </c>
      <c r="C57" s="116" t="s">
        <v>127</v>
      </c>
      <c r="D57" s="158" t="s">
        <v>327</v>
      </c>
      <c r="E57" s="156" t="s">
        <v>115</v>
      </c>
      <c r="F57" s="116"/>
      <c r="G57" s="117"/>
      <c r="H57" s="127" t="str" cm="1">
        <f t="array" ref="H57">"https://www.continente.pt/"&amp;SUBSTITUTE(SUBSTITUTE(SUBSTITUTE(StripAccent(D57),",","")," - ","/")," ","-")&amp;"/"</f>
        <v>https://www.continente.pt/Mercearia/Molhos-Temperos-e-Sal/Maionese-Ketchup-e-Mostarda/</v>
      </c>
    </row>
    <row r="58" spans="1:10" s="18" customFormat="1" ht="21" customHeight="1" x14ac:dyDescent="0.2">
      <c r="A58" s="144">
        <v>95</v>
      </c>
      <c r="B58" s="115">
        <v>5</v>
      </c>
      <c r="C58" s="116" t="s">
        <v>54</v>
      </c>
      <c r="D58" s="158" t="s">
        <v>328</v>
      </c>
      <c r="E58" s="156" t="s">
        <v>115</v>
      </c>
      <c r="F58" s="116"/>
      <c r="G58" s="117"/>
      <c r="H58" s="127" t="str" cm="1">
        <f t="array" ref="H58">"https://www.continente.pt/"&amp;SUBSTITUTE(SUBSTITUTE(SUBSTITUTE(StripAccent(D58),",","")," - ","/")," ","-")&amp;"/"</f>
        <v>https://www.continente.pt/Laticinios-e-Ovos/Natas-e-Bechamel/Natas-para-Bater-e-Chantilly/</v>
      </c>
      <c r="J58" s="69"/>
    </row>
    <row r="59" spans="1:10" s="18" customFormat="1" ht="21" customHeight="1" x14ac:dyDescent="0.2">
      <c r="A59" s="144">
        <v>99</v>
      </c>
      <c r="B59" s="116">
        <v>3</v>
      </c>
      <c r="C59" s="116" t="s">
        <v>20</v>
      </c>
      <c r="D59" s="158" t="s">
        <v>331</v>
      </c>
      <c r="E59" s="156" t="s">
        <v>115</v>
      </c>
      <c r="F59" s="116"/>
      <c r="G59" s="117"/>
      <c r="H59" s="127" t="str" cm="1">
        <f t="array" ref="H59">"https://www.continente.pt/"&amp;SUBSTITUTE(SUBSTITUTE(SUBSTITUTE(StripAccent(D59),",","")," - ","/")," ","-")&amp;"/"</f>
        <v>https://www.continente.pt/Laticinios-e-Ovos/Ovos/</v>
      </c>
      <c r="J59" s="69"/>
    </row>
    <row r="60" spans="1:10" s="18" customFormat="1" ht="21" customHeight="1" x14ac:dyDescent="0.2">
      <c r="A60" s="144">
        <v>101</v>
      </c>
      <c r="B60" s="115">
        <v>1</v>
      </c>
      <c r="C60" s="116" t="s">
        <v>40</v>
      </c>
      <c r="D60" s="158" t="s">
        <v>333</v>
      </c>
      <c r="E60" s="156" t="s">
        <v>115</v>
      </c>
      <c r="F60" s="116"/>
      <c r="G60" s="117"/>
      <c r="H60" s="127" t="str" cm="1">
        <f t="array" ref="H60">"https://www.continente.pt/"&amp;SUBSTITUTE(SUBSTITUTE(SUBSTITUTE(StripAccent(D60),",","")," - ","/")," ","-")&amp;"/"</f>
        <v>https://www.continente.pt/Beleza-e-Higiene/Papel-Higienico-e-Lencos/Papel-Higienico-3-4-e-5-Folhas/</v>
      </c>
    </row>
    <row r="61" spans="1:10" ht="21" customHeight="1" x14ac:dyDescent="0.2">
      <c r="A61" s="143">
        <v>103</v>
      </c>
      <c r="B61" s="153">
        <v>2</v>
      </c>
      <c r="C61" s="154" t="s">
        <v>41</v>
      </c>
      <c r="D61" s="155" t="s">
        <v>334</v>
      </c>
      <c r="E61" s="157" t="s">
        <v>115</v>
      </c>
      <c r="H61" s="127" t="str" cm="1">
        <f t="array" ref="H61">"https://www.continente.pt/"&amp;SUBSTITUTE(SUBSTITUTE(SUBSTITUTE(StripAccent(D61),",","")," - ","/")," ","-")&amp;"/"</f>
        <v>https://www.continente.pt/Animais/Gato/Absorventes/</v>
      </c>
      <c r="J61" s="18"/>
    </row>
    <row r="62" spans="1:10" ht="21" customHeight="1" x14ac:dyDescent="0.2">
      <c r="A62" s="143">
        <v>119</v>
      </c>
      <c r="B62" s="115">
        <v>1</v>
      </c>
      <c r="C62" s="116" t="s">
        <v>56</v>
      </c>
      <c r="D62" s="158" t="s">
        <v>348</v>
      </c>
      <c r="E62" s="156" t="s">
        <v>115</v>
      </c>
      <c r="H62" s="127" t="str" cm="1">
        <f t="array" ref="H62">"https://www.continente.pt/"&amp;SUBSTITUTE(SUBSTITUTE(SUBSTITUTE(StripAccent(D62),",","")," - ","/")," ","-")&amp;"/"</f>
        <v>https://www.continente.pt/Mercearia/Conservas/Tomate-Polpa-Pelado-e-Seco/</v>
      </c>
      <c r="J62" s="18"/>
    </row>
    <row r="63" spans="1:10" s="18" customFormat="1" ht="21" customHeight="1" x14ac:dyDescent="0.2">
      <c r="A63" s="143">
        <v>121</v>
      </c>
      <c r="B63" s="115">
        <v>4</v>
      </c>
      <c r="C63" s="116" t="s">
        <v>46</v>
      </c>
      <c r="D63" s="158" t="s">
        <v>350</v>
      </c>
      <c r="E63" s="156" t="s">
        <v>115</v>
      </c>
      <c r="F63" s="116"/>
      <c r="G63" s="117"/>
      <c r="H63" s="127" t="str" cm="1">
        <f t="array" ref="H63">"https://www.continente.pt/"&amp;SUBSTITUTE(SUBSTITUTE(SUBSTITUTE(StripAccent(D63),",","")," - ","/")," ","-")&amp;"/"</f>
        <v>https://www.continente.pt/Mercearia/Sopas-e-Refeicoes/Refeicoes/</v>
      </c>
    </row>
    <row r="64" spans="1:10" s="18" customFormat="1" ht="21" customHeight="1" x14ac:dyDescent="0.2">
      <c r="A64" s="144">
        <v>122</v>
      </c>
      <c r="B64" s="115">
        <v>2</v>
      </c>
      <c r="C64" s="116" t="s">
        <v>110</v>
      </c>
      <c r="D64" s="158" t="s">
        <v>351</v>
      </c>
      <c r="E64" s="156" t="s">
        <v>115</v>
      </c>
      <c r="F64" s="116"/>
      <c r="G64" s="117"/>
      <c r="H64" s="127" t="str" cm="1">
        <f t="array" ref="H64">"https://www.continente.pt/"&amp;SUBSTITUTE(SUBSTITUTE(SUBSTITUTE(StripAccent(D64),",","")," - ","/")," ","-")&amp;"/"</f>
        <v>https://www.continente.pt/Congelados/Batatas-Congeladas/</v>
      </c>
    </row>
    <row r="65" spans="1:8" s="18" customFormat="1" ht="21" customHeight="1" x14ac:dyDescent="0.2">
      <c r="A65" s="143">
        <v>124</v>
      </c>
      <c r="B65" s="115">
        <v>1</v>
      </c>
      <c r="C65" s="116" t="s">
        <v>99</v>
      </c>
      <c r="D65" s="158" t="s">
        <v>354</v>
      </c>
      <c r="E65" s="156" t="s">
        <v>115</v>
      </c>
      <c r="F65" s="116"/>
      <c r="G65" s="117"/>
      <c r="H65" s="127" t="str" cm="1">
        <f t="array" ref="H65">"https://www.continente.pt/"&amp;SUBSTITUTE(SUBSTITUTE(SUBSTITUTE(StripAccent(D65),",","")," - ","/")," ","-")&amp;"/"</f>
        <v>https://www.continente.pt/Charcutaria-e-Queijos/Queijos/Fatiado-e-Bolas/</v>
      </c>
    </row>
    <row r="66" spans="1:8" s="18" customFormat="1" ht="21" customHeight="1" x14ac:dyDescent="0.2">
      <c r="A66" s="144">
        <v>127</v>
      </c>
      <c r="B66" s="115">
        <v>1</v>
      </c>
      <c r="C66" s="116" t="s">
        <v>358</v>
      </c>
      <c r="D66" s="158" t="s">
        <v>353</v>
      </c>
      <c r="E66" s="156" t="s">
        <v>115</v>
      </c>
      <c r="F66" s="116"/>
      <c r="G66" s="117"/>
      <c r="H66" s="127" t="str" cm="1">
        <f t="array" ref="H66">"https://www.continente.pt/"&amp;SUBSTITUTE(SUBSTITUTE(SUBSTITUTE(StripAccent(D66),",","")," - ","/")," ","-")&amp;"/"</f>
        <v>https://www.continente.pt/Charcutaria-e-Queijos/Queijos/Queijos-do-Mundo/</v>
      </c>
    </row>
    <row r="67" spans="1:8" s="18" customFormat="1" ht="21" customHeight="1" x14ac:dyDescent="0.2">
      <c r="A67" s="143">
        <v>129</v>
      </c>
      <c r="B67" s="115">
        <v>1</v>
      </c>
      <c r="C67" s="116" t="s">
        <v>64</v>
      </c>
      <c r="D67" s="158" t="s">
        <v>359</v>
      </c>
      <c r="E67" s="156" t="s">
        <v>115</v>
      </c>
      <c r="F67" s="116"/>
      <c r="G67" s="117"/>
      <c r="H67" s="127" t="str" cm="1">
        <f t="array" ref="H67">"https://www.continente.pt/"&amp;SUBSTITUTE(SUBSTITUTE(SUBSTITUTE(StripAccent(D67),",","")," - ","/")," ","-")&amp;"/"</f>
        <v>https://www.continente.pt/Limpeza/Guardanapos-Rolos-e-Peliculas/Rolos-de-Cozinha/</v>
      </c>
    </row>
    <row r="68" spans="1:8" s="18" customFormat="1" ht="21" customHeight="1" x14ac:dyDescent="0.2">
      <c r="A68" s="144">
        <v>130</v>
      </c>
      <c r="B68" s="115">
        <v>1</v>
      </c>
      <c r="C68" s="116" t="s">
        <v>42</v>
      </c>
      <c r="D68" s="158" t="s">
        <v>360</v>
      </c>
      <c r="E68" s="156" t="s">
        <v>115</v>
      </c>
      <c r="F68" s="116"/>
      <c r="G68" s="117"/>
      <c r="H68" s="127" t="str" cm="1">
        <f t="array" ref="H68">"https://www.continente.pt/"&amp;SUBSTITUTE(SUBSTITUTE(SUBSTITUTE(StripAccent(D68),",","")," - ","/")," ","-")&amp;"/"</f>
        <v>https://www.continente.pt/Limpeza/Sacos-e-Baldes-do-Lixo/Sacos-do-Lixo/</v>
      </c>
    </row>
    <row r="69" spans="1:8" s="18" customFormat="1" ht="21" customHeight="1" x14ac:dyDescent="0.2">
      <c r="A69" s="143">
        <v>131</v>
      </c>
      <c r="B69" s="115">
        <v>1</v>
      </c>
      <c r="C69" s="116" t="s">
        <v>82</v>
      </c>
      <c r="D69" s="158" t="s">
        <v>361</v>
      </c>
      <c r="E69" s="156" t="s">
        <v>115</v>
      </c>
      <c r="F69" s="116"/>
      <c r="G69" s="117"/>
      <c r="H69" s="127" t="str" cm="1">
        <f t="array" ref="H69">"https://www.continente.pt/"&amp;SUBSTITUTE(SUBSTITUTE(SUBSTITUTE(StripAccent(D69),",","")," - ","/")," ","-")&amp;"/"</f>
        <v>https://www.continente.pt/Mercearia/Molhos-Temperos-e-Sal/Sal/</v>
      </c>
    </row>
    <row r="70" spans="1:8" s="18" customFormat="1" ht="21" customHeight="1" x14ac:dyDescent="0.2">
      <c r="A70" s="144">
        <v>133</v>
      </c>
      <c r="B70" s="153">
        <v>300</v>
      </c>
      <c r="C70" s="154" t="s">
        <v>131</v>
      </c>
      <c r="D70" s="155" t="s">
        <v>337</v>
      </c>
      <c r="E70" s="157" t="s">
        <v>115</v>
      </c>
      <c r="F70" s="116"/>
      <c r="G70" s="117"/>
      <c r="H70" s="127" t="str" cm="1">
        <f t="array" ref="H70">"https://www.continente.pt/"&amp;SUBSTITUTE(SUBSTITUTE(SUBSTITUTE(StripAccent(D70),",","")," - ","/")," ","-")&amp;"/"</f>
        <v>https://www.continente.pt/Peixaria-e-Talho/Peixaria/Peixe-Fresco/</v>
      </c>
    </row>
    <row r="71" spans="1:8" s="18" customFormat="1" ht="21" customHeight="1" x14ac:dyDescent="0.2">
      <c r="A71" s="143">
        <v>134</v>
      </c>
      <c r="B71" s="115">
        <v>1</v>
      </c>
      <c r="C71" s="116" t="s">
        <v>363</v>
      </c>
      <c r="D71" s="158" t="s">
        <v>286</v>
      </c>
      <c r="E71" s="156" t="s">
        <v>115</v>
      </c>
      <c r="F71" s="116"/>
      <c r="G71" s="117"/>
      <c r="H71" s="127" t="str" cm="1">
        <f t="array" ref="H71">"https://www.continente.pt/"&amp;SUBSTITUTE(SUBSTITUTE(SUBSTITUTE(StripAccent(D71),",","")," - ","/")," ","-")&amp;"/"</f>
        <v>https://www.continente.pt/Frutas-e-Legumes/Ervas-Aromaticas-e-Especiarias/</v>
      </c>
    </row>
    <row r="72" spans="1:8" s="18" customFormat="1" ht="21" customHeight="1" x14ac:dyDescent="0.2">
      <c r="A72" s="143">
        <v>137</v>
      </c>
      <c r="B72" s="115">
        <v>1</v>
      </c>
      <c r="C72" s="116" t="s">
        <v>65</v>
      </c>
      <c r="D72" s="158" t="s">
        <v>367</v>
      </c>
      <c r="E72" s="156" t="s">
        <v>115</v>
      </c>
      <c r="F72" s="116"/>
      <c r="G72" s="117"/>
      <c r="H72" s="127" t="str" cm="1">
        <f t="array" ref="H72">"https://www.continente.pt/"&amp;SUBSTITUTE(SUBSTITUTE(SUBSTITUTE(StripAccent(D72),",","")," - ","/")," ","-")&amp;"/"</f>
        <v>https://www.continente.pt/Bebidas-e-Garrafeira/Sumos-e-Refrigerantes/Nectares/</v>
      </c>
    </row>
    <row r="73" spans="1:8" s="18" customFormat="1" ht="21" customHeight="1" x14ac:dyDescent="0.2">
      <c r="A73" s="143">
        <v>138</v>
      </c>
      <c r="B73" s="154">
        <v>3</v>
      </c>
      <c r="C73" s="154" t="s">
        <v>47</v>
      </c>
      <c r="D73" s="155" t="s">
        <v>367</v>
      </c>
      <c r="E73" s="153"/>
      <c r="F73" s="116"/>
      <c r="G73" s="117"/>
      <c r="H73" s="127" t="str" cm="1">
        <f t="array" ref="H73">"https://www.continente.pt/"&amp;SUBSTITUTE(SUBSTITUTE(SUBSTITUTE(StripAccent(D73),",","")," - ","/")," ","-")&amp;"/"</f>
        <v>https://www.continente.pt/Bebidas-e-Garrafeira/Sumos-e-Refrigerantes/Nectares/</v>
      </c>
    </row>
    <row r="74" spans="1:8" s="18" customFormat="1" ht="21" customHeight="1" x14ac:dyDescent="0.2">
      <c r="A74" s="144">
        <v>139</v>
      </c>
      <c r="B74" s="115">
        <v>3</v>
      </c>
      <c r="C74" s="116" t="s">
        <v>48</v>
      </c>
      <c r="D74" s="158" t="s">
        <v>368</v>
      </c>
      <c r="E74" s="156" t="s">
        <v>115</v>
      </c>
      <c r="F74" s="116"/>
      <c r="G74" s="117"/>
      <c r="H74" s="127" t="str" cm="1">
        <f t="array" ref="H74">"https://www.continente.pt/"&amp;SUBSTITUTE(SUBSTITUTE(SUBSTITUTE(StripAccent(D74),",","")," - ","/")," ","-")&amp;"/"</f>
        <v>https://www.continente.pt/Bebidas-e-Garrafeira/Sumos-e-Refrigerantes/Sumos-de-Fruta/</v>
      </c>
    </row>
    <row r="75" spans="1:8" s="18" customFormat="1" ht="21" customHeight="1" x14ac:dyDescent="0.2">
      <c r="A75" s="143">
        <v>141</v>
      </c>
      <c r="B75" s="115">
        <v>3</v>
      </c>
      <c r="C75" s="116" t="s">
        <v>57</v>
      </c>
      <c r="D75" s="158" t="s">
        <v>348</v>
      </c>
      <c r="E75" s="115"/>
      <c r="F75" s="116"/>
      <c r="G75" s="117"/>
      <c r="H75" s="127" t="str" cm="1">
        <f t="array" ref="H75">"https://www.continente.pt/"&amp;SUBSTITUTE(SUBSTITUTE(SUBSTITUTE(StripAccent(D75),",","")," - ","/")," ","-")&amp;"/"</f>
        <v>https://www.continente.pt/Mercearia/Conservas/Tomate-Polpa-Pelado-e-Seco/</v>
      </c>
    </row>
    <row r="76" spans="1:8" s="18" customFormat="1" ht="21" customHeight="1" x14ac:dyDescent="0.2">
      <c r="A76" s="144">
        <v>147</v>
      </c>
      <c r="B76" s="115">
        <v>6</v>
      </c>
      <c r="C76" s="116" t="s">
        <v>112</v>
      </c>
      <c r="D76" s="158" t="s">
        <v>303</v>
      </c>
      <c r="E76" s="130"/>
      <c r="F76" s="116"/>
      <c r="G76" s="117"/>
      <c r="H76" s="127" t="str" cm="1">
        <f t="array" ref="H76">"https://www.continente.pt/"&amp;SUBSTITUTE(SUBSTITUTE(SUBSTITUTE(StripAccent(D76),",","")," - ","/")," ","-")&amp;"/"</f>
        <v>https://www.continente.pt/Congelados/Frutas-e-Legumes/Misturas-de-Legumes-Congelados/</v>
      </c>
    </row>
    <row r="77" spans="1:8" s="18" customFormat="1" ht="21" customHeight="1" x14ac:dyDescent="0.2">
      <c r="A77" s="144">
        <v>149</v>
      </c>
      <c r="B77" s="115">
        <v>1</v>
      </c>
      <c r="C77" s="116" t="s">
        <v>66</v>
      </c>
      <c r="D77" s="158" t="s">
        <v>376</v>
      </c>
      <c r="E77" s="156" t="s">
        <v>115</v>
      </c>
      <c r="F77" s="116"/>
      <c r="G77" s="117"/>
      <c r="H77" s="127" t="str" cm="1">
        <f t="array" ref="H77">"https://www.continente.pt/"&amp;SUBSTITUTE(SUBSTITUTE(SUBSTITUTE(StripAccent(D77),",","")," - ","/")," ","-")&amp;"/"</f>
        <v>https://www.continente.pt/Bebidas-e-Garrafeira/Vinhos/Vinho-Branco/</v>
      </c>
    </row>
    <row r="78" spans="1:8" s="18" customFormat="1" ht="21" customHeight="1" x14ac:dyDescent="0.2">
      <c r="A78" s="144">
        <v>151</v>
      </c>
      <c r="B78" s="115">
        <v>1</v>
      </c>
      <c r="C78" s="116" t="s">
        <v>67</v>
      </c>
      <c r="D78" s="158" t="s">
        <v>379</v>
      </c>
      <c r="E78" s="156" t="s">
        <v>115</v>
      </c>
      <c r="F78" s="116"/>
      <c r="G78" s="117"/>
      <c r="H78" s="127" t="str" cm="1">
        <f t="array" ref="H78">"https://www.continente.pt/"&amp;SUBSTITUTE(SUBSTITUTE(SUBSTITUTE(StripAccent(D78),",","")," - ","/")," ","-")&amp;"/"</f>
        <v>https://www.continente.pt/Bebidas-e-Garrafeira/Vinhos/Vinho-Tinto/</v>
      </c>
    </row>
    <row r="79" spans="1:8" s="18" customFormat="1" ht="21" customHeight="1" x14ac:dyDescent="0.2">
      <c r="A79" s="144"/>
      <c r="B79" s="115"/>
      <c r="C79" s="116"/>
      <c r="D79" s="158"/>
      <c r="E79" s="130"/>
      <c r="F79" s="116"/>
      <c r="G79" s="117"/>
      <c r="H79" s="127" t="str" cm="1">
        <f t="array" ref="H79">"https://www.continente.pt/"&amp;SUBSTITUTE(SUBSTITUTE(SUBSTITUTE(StripAccent(D79),",","")," - ","/")," ","-")&amp;"/"</f>
        <v>https://www.continente.pt//</v>
      </c>
    </row>
    <row r="80" spans="1:8" s="18" customFormat="1" ht="21" customHeight="1" x14ac:dyDescent="0.2">
      <c r="A80" s="144"/>
      <c r="B80" s="115"/>
      <c r="C80" s="116"/>
      <c r="D80" s="158"/>
      <c r="E80" s="130"/>
      <c r="F80" s="116"/>
      <c r="G80" s="117"/>
      <c r="H80" s="127" t="str" cm="1">
        <f t="array" ref="H80">"https://www.continente.pt/"&amp;SUBSTITUTE(SUBSTITUTE(SUBSTITUTE(StripAccent(D80),",","")," - ","/")," ","-")&amp;"/"</f>
        <v>https://www.continente.pt//</v>
      </c>
    </row>
    <row r="81" spans="1:8" s="18" customFormat="1" ht="21" customHeight="1" x14ac:dyDescent="0.2">
      <c r="A81" s="144"/>
      <c r="B81" s="115"/>
      <c r="C81" s="116"/>
      <c r="D81" s="158"/>
      <c r="E81" s="130"/>
      <c r="F81" s="116"/>
      <c r="G81" s="117"/>
      <c r="H81" s="127" t="str" cm="1">
        <f t="array" ref="H81">"https://www.continente.pt/"&amp;SUBSTITUTE(SUBSTITUTE(SUBSTITUTE(StripAccent(D81),",","")," - ","/")," ","-")&amp;"/"</f>
        <v>https://www.continente.pt//</v>
      </c>
    </row>
    <row r="82" spans="1:8" s="18" customFormat="1" ht="21" customHeight="1" x14ac:dyDescent="0.2">
      <c r="A82" s="144"/>
      <c r="B82" s="115"/>
      <c r="C82" s="116"/>
      <c r="D82" s="158"/>
      <c r="E82" s="130"/>
      <c r="F82" s="116"/>
      <c r="G82" s="117"/>
      <c r="H82" s="127" t="str" cm="1">
        <f t="array" ref="H82">"https://www.continente.pt/"&amp;SUBSTITUTE(SUBSTITUTE(SUBSTITUTE(StripAccent(D82),",","")," - ","/")," ","-")&amp;"/"</f>
        <v>https://www.continente.pt//</v>
      </c>
    </row>
    <row r="83" spans="1:8" s="18" customFormat="1" ht="21" customHeight="1" x14ac:dyDescent="0.2">
      <c r="A83" s="144"/>
      <c r="B83" s="115"/>
      <c r="C83" s="116"/>
      <c r="D83" s="158"/>
      <c r="E83" s="130"/>
      <c r="F83" s="116"/>
      <c r="G83" s="117"/>
      <c r="H83" s="127" t="str" cm="1">
        <f t="array" ref="H83">"https://www.continente.pt/"&amp;SUBSTITUTE(SUBSTITUTE(SUBSTITUTE(StripAccent(D83),",","")," - ","/")," ","-")&amp;"/"</f>
        <v>https://www.continente.pt//</v>
      </c>
    </row>
    <row r="84" spans="1:8" s="18" customFormat="1" ht="21" customHeight="1" x14ac:dyDescent="0.2">
      <c r="A84" s="144"/>
      <c r="B84" s="115"/>
      <c r="C84" s="116"/>
      <c r="D84" s="158"/>
      <c r="E84" s="130"/>
      <c r="F84" s="116"/>
      <c r="G84" s="117"/>
      <c r="H84" s="127" t="str" cm="1">
        <f t="array" ref="H84">"https://www.continente.pt/"&amp;SUBSTITUTE(SUBSTITUTE(SUBSTITUTE(StripAccent(D84),",","")," - ","/")," ","-")&amp;"/"</f>
        <v>https://www.continente.pt//</v>
      </c>
    </row>
    <row r="85" spans="1:8" s="18" customFormat="1" ht="21" customHeight="1" x14ac:dyDescent="0.2">
      <c r="A85" s="144"/>
      <c r="B85" s="115"/>
      <c r="C85" s="116"/>
      <c r="D85" s="158"/>
      <c r="E85" s="130"/>
      <c r="F85" s="116"/>
      <c r="G85" s="117"/>
      <c r="H85" s="127" t="str" cm="1">
        <f t="array" ref="H85">"https://www.continente.pt/"&amp;SUBSTITUTE(SUBSTITUTE(SUBSTITUTE(StripAccent(D85),",","")," - ","/")," ","-")&amp;"/"</f>
        <v>https://www.continente.pt//</v>
      </c>
    </row>
    <row r="86" spans="1:8" s="18" customFormat="1" ht="21" customHeight="1" x14ac:dyDescent="0.2">
      <c r="A86" s="144"/>
      <c r="B86" s="115"/>
      <c r="C86" s="116"/>
      <c r="D86" s="158"/>
      <c r="E86" s="130"/>
      <c r="F86" s="116"/>
      <c r="G86" s="117"/>
      <c r="H86" s="127" t="str" cm="1">
        <f t="array" ref="H86">"https://www.continente.pt/"&amp;SUBSTITUTE(SUBSTITUTE(SUBSTITUTE(StripAccent(D86),",","")," - ","/")," ","-")&amp;"/"</f>
        <v>https://www.continente.pt//</v>
      </c>
    </row>
    <row r="87" spans="1:8" s="18" customFormat="1" ht="21" customHeight="1" x14ac:dyDescent="0.2">
      <c r="A87" s="144"/>
      <c r="B87" s="115"/>
      <c r="C87" s="116"/>
      <c r="D87" s="158"/>
      <c r="E87" s="130"/>
      <c r="F87" s="116"/>
      <c r="G87" s="117"/>
      <c r="H87" s="127" t="str" cm="1">
        <f t="array" ref="H87">"https://www.continente.pt/"&amp;SUBSTITUTE(SUBSTITUTE(SUBSTITUTE(StripAccent(D87),",","")," - ","/")," ","-")&amp;"/"</f>
        <v>https://www.continente.pt//</v>
      </c>
    </row>
    <row r="88" spans="1:8" s="18" customFormat="1" ht="21" customHeight="1" x14ac:dyDescent="0.2">
      <c r="A88" s="144"/>
      <c r="B88" s="115"/>
      <c r="C88" s="116"/>
      <c r="D88" s="158"/>
      <c r="E88" s="130"/>
      <c r="F88" s="116"/>
      <c r="G88" s="117"/>
      <c r="H88" s="127" t="str" cm="1">
        <f t="array" ref="H88">"https://www.continente.pt/"&amp;SUBSTITUTE(SUBSTITUTE(SUBSTITUTE(StripAccent(D88),",","")," - ","/")," ","-")&amp;"/"</f>
        <v>https://www.continente.pt//</v>
      </c>
    </row>
    <row r="89" spans="1:8" s="18" customFormat="1" ht="21" customHeight="1" x14ac:dyDescent="0.2">
      <c r="A89" s="144"/>
      <c r="B89" s="115"/>
      <c r="C89" s="116"/>
      <c r="D89" s="158"/>
      <c r="E89" s="130"/>
      <c r="F89" s="116"/>
      <c r="G89" s="117"/>
      <c r="H89" s="127" t="str" cm="1">
        <f t="array" ref="H89">"https://www.continente.pt/"&amp;SUBSTITUTE(SUBSTITUTE(SUBSTITUTE(StripAccent(D89),",","")," - ","/")," ","-")&amp;"/"</f>
        <v>https://www.continente.pt//</v>
      </c>
    </row>
    <row r="90" spans="1:8" s="18" customFormat="1" ht="21" customHeight="1" x14ac:dyDescent="0.2">
      <c r="A90" s="144"/>
      <c r="B90" s="115"/>
      <c r="C90" s="116"/>
      <c r="D90" s="158"/>
      <c r="E90" s="130"/>
      <c r="F90" s="116"/>
      <c r="G90" s="117"/>
      <c r="H90" s="127" t="str" cm="1">
        <f t="array" ref="H90">"https://www.continente.pt/"&amp;SUBSTITUTE(SUBSTITUTE(SUBSTITUTE(StripAccent(D90),",","")," - ","/")," ","-")&amp;"/"</f>
        <v>https://www.continente.pt//</v>
      </c>
    </row>
    <row r="91" spans="1:8" s="18" customFormat="1" ht="21" customHeight="1" x14ac:dyDescent="0.2">
      <c r="A91" s="144"/>
      <c r="B91" s="115"/>
      <c r="C91" s="116"/>
      <c r="D91" s="158"/>
      <c r="E91" s="130"/>
      <c r="F91" s="116"/>
      <c r="G91" s="117"/>
      <c r="H91" s="127" t="str" cm="1">
        <f t="array" ref="H91">"https://www.continente.pt/"&amp;SUBSTITUTE(SUBSTITUTE(SUBSTITUTE(StripAccent(D91),",","")," - ","/")," ","-")&amp;"/"</f>
        <v>https://www.continente.pt//</v>
      </c>
    </row>
    <row r="92" spans="1:8" s="18" customFormat="1" ht="21" customHeight="1" x14ac:dyDescent="0.2">
      <c r="A92" s="144"/>
      <c r="B92" s="115"/>
      <c r="C92" s="116"/>
      <c r="D92" s="158"/>
      <c r="E92" s="130"/>
      <c r="F92" s="116"/>
      <c r="G92" s="117"/>
      <c r="H92" s="127" t="str" cm="1">
        <f t="array" ref="H92">"https://www.continente.pt/"&amp;SUBSTITUTE(SUBSTITUTE(SUBSTITUTE(StripAccent(D92),",","")," - ","/")," ","-")&amp;"/"</f>
        <v>https://www.continente.pt//</v>
      </c>
    </row>
    <row r="93" spans="1:8" s="18" customFormat="1" ht="21" customHeight="1" x14ac:dyDescent="0.2">
      <c r="A93" s="144"/>
      <c r="B93" s="115"/>
      <c r="C93" s="116"/>
      <c r="D93" s="158"/>
      <c r="E93" s="130"/>
      <c r="F93" s="116"/>
      <c r="G93" s="117"/>
      <c r="H93" s="127" t="str" cm="1">
        <f t="array" ref="H93">"https://www.continente.pt/"&amp;SUBSTITUTE(SUBSTITUTE(SUBSTITUTE(StripAccent(D93),",","")," - ","/")," ","-")&amp;"/"</f>
        <v>https://www.continente.pt//</v>
      </c>
    </row>
    <row r="94" spans="1:8" s="18" customFormat="1" ht="21" customHeight="1" x14ac:dyDescent="0.2">
      <c r="A94" s="144"/>
      <c r="B94" s="115"/>
      <c r="C94" s="116"/>
      <c r="D94" s="158"/>
      <c r="E94" s="130"/>
      <c r="F94" s="116"/>
      <c r="G94" s="117"/>
      <c r="H94" s="127" t="str" cm="1">
        <f t="array" ref="H94">"https://www.continente.pt/"&amp;SUBSTITUTE(SUBSTITUTE(SUBSTITUTE(StripAccent(D94),",","")," - ","/")," ","-")&amp;"/"</f>
        <v>https://www.continente.pt//</v>
      </c>
    </row>
    <row r="95" spans="1:8" s="18" customFormat="1" ht="21" customHeight="1" x14ac:dyDescent="0.2">
      <c r="A95" s="144"/>
      <c r="B95" s="115"/>
      <c r="C95" s="116"/>
      <c r="D95" s="158"/>
      <c r="E95" s="130"/>
      <c r="F95" s="116"/>
      <c r="G95" s="117"/>
      <c r="H95" s="127" t="str" cm="1">
        <f t="array" ref="H95">"https://www.continente.pt/"&amp;SUBSTITUTE(SUBSTITUTE(SUBSTITUTE(StripAccent(D95),",","")," - ","/")," ","-")&amp;"/"</f>
        <v>https://www.continente.pt//</v>
      </c>
    </row>
    <row r="96" spans="1:8" s="18" customFormat="1" ht="21" customHeight="1" x14ac:dyDescent="0.2">
      <c r="A96" s="144"/>
      <c r="B96" s="115"/>
      <c r="C96" s="116"/>
      <c r="D96" s="158"/>
      <c r="E96" s="130"/>
      <c r="F96" s="116"/>
      <c r="G96" s="117"/>
      <c r="H96" s="127" t="str" cm="1">
        <f t="array" ref="H96">"https://www.continente.pt/"&amp;SUBSTITUTE(SUBSTITUTE(SUBSTITUTE(StripAccent(D96),",","")," - ","/")," ","-")&amp;"/"</f>
        <v>https://www.continente.pt//</v>
      </c>
    </row>
    <row r="97" spans="1:8" s="18" customFormat="1" ht="21" customHeight="1" x14ac:dyDescent="0.2">
      <c r="A97" s="144"/>
      <c r="B97" s="115"/>
      <c r="C97" s="116"/>
      <c r="D97" s="158"/>
      <c r="E97" s="130"/>
      <c r="F97" s="116"/>
      <c r="G97" s="117"/>
      <c r="H97" s="127" t="str" cm="1">
        <f t="array" ref="H97">"https://www.continente.pt/"&amp;SUBSTITUTE(SUBSTITUTE(SUBSTITUTE(StripAccent(D97),",","")," - ","/")," ","-")&amp;"/"</f>
        <v>https://www.continente.pt//</v>
      </c>
    </row>
    <row r="98" spans="1:8" s="18" customFormat="1" ht="21" customHeight="1" x14ac:dyDescent="0.2">
      <c r="A98" s="144"/>
      <c r="B98" s="115"/>
      <c r="C98" s="116"/>
      <c r="D98" s="158"/>
      <c r="E98" s="130"/>
      <c r="F98" s="116"/>
      <c r="G98" s="117"/>
      <c r="H98" s="127" t="str" cm="1">
        <f t="array" ref="H98">"https://www.continente.pt/"&amp;SUBSTITUTE(SUBSTITUTE(SUBSTITUTE(StripAccent(D98),",","")," - ","/")," ","-")&amp;"/"</f>
        <v>https://www.continente.pt//</v>
      </c>
    </row>
    <row r="99" spans="1:8" s="18" customFormat="1" ht="21" customHeight="1" x14ac:dyDescent="0.2">
      <c r="A99" s="144"/>
      <c r="B99" s="115"/>
      <c r="C99" s="116"/>
      <c r="D99" s="158"/>
      <c r="E99" s="130"/>
      <c r="F99" s="116"/>
      <c r="G99" s="117"/>
      <c r="H99" s="127" t="str" cm="1">
        <f t="array" ref="H99">"https://www.continente.pt/"&amp;SUBSTITUTE(SUBSTITUTE(SUBSTITUTE(StripAccent(D99),",","")," - ","/")," ","-")&amp;"/"</f>
        <v>https://www.continente.pt//</v>
      </c>
    </row>
    <row r="100" spans="1:8" s="18" customFormat="1" ht="21" customHeight="1" x14ac:dyDescent="0.2">
      <c r="A100" s="144"/>
      <c r="B100" s="115"/>
      <c r="C100" s="116"/>
      <c r="D100" s="158"/>
      <c r="E100" s="130"/>
      <c r="F100" s="116"/>
      <c r="G100" s="117"/>
      <c r="H100" s="128"/>
    </row>
    <row r="101" spans="1:8" s="18" customFormat="1" ht="21" customHeight="1" x14ac:dyDescent="0.2">
      <c r="A101" s="144"/>
      <c r="B101" s="115"/>
      <c r="C101" s="116"/>
      <c r="D101" s="158"/>
      <c r="E101" s="130"/>
      <c r="F101" s="116"/>
      <c r="G101" s="117"/>
      <c r="H101" s="128"/>
    </row>
    <row r="102" spans="1:8" s="18" customFormat="1" ht="21" customHeight="1" x14ac:dyDescent="0.2">
      <c r="A102" s="144"/>
      <c r="B102" s="116"/>
      <c r="C102" s="116"/>
      <c r="D102" s="158"/>
      <c r="E102" s="130"/>
      <c r="F102" s="116"/>
      <c r="G102" s="117"/>
      <c r="H102" s="128"/>
    </row>
    <row r="103" spans="1:8" s="18" customFormat="1" ht="21" customHeight="1" x14ac:dyDescent="0.2">
      <c r="A103" s="144"/>
      <c r="B103" s="116"/>
      <c r="C103" s="116"/>
      <c r="D103" s="158"/>
      <c r="E103" s="130"/>
      <c r="F103" s="116"/>
      <c r="G103" s="117"/>
      <c r="H103" s="128"/>
    </row>
    <row r="104" spans="1:8" s="18" customFormat="1" ht="21" customHeight="1" x14ac:dyDescent="0.2">
      <c r="A104" s="144"/>
      <c r="B104" s="116"/>
      <c r="C104" s="116"/>
      <c r="D104" s="158"/>
      <c r="E104" s="130"/>
      <c r="F104" s="116"/>
      <c r="G104" s="117"/>
      <c r="H104" s="128"/>
    </row>
    <row r="105" spans="1:8" s="18" customFormat="1" ht="21" customHeight="1" x14ac:dyDescent="0.2">
      <c r="A105" s="143"/>
      <c r="B105" s="116"/>
      <c r="C105" s="116"/>
      <c r="D105" s="158"/>
      <c r="E105" s="130"/>
      <c r="F105" s="116"/>
      <c r="G105" s="117"/>
      <c r="H105" s="128"/>
    </row>
    <row r="106" spans="1:8" s="18" customFormat="1" ht="21" customHeight="1" x14ac:dyDescent="0.2">
      <c r="A106" s="143"/>
      <c r="B106" s="116"/>
      <c r="C106" s="116"/>
      <c r="D106" s="158"/>
      <c r="E106" s="130"/>
      <c r="F106" s="116"/>
      <c r="G106" s="117"/>
      <c r="H106" s="128"/>
    </row>
    <row r="107" spans="1:8" s="18" customFormat="1" ht="21" customHeight="1" x14ac:dyDescent="0.2">
      <c r="A107" s="143"/>
      <c r="B107" s="116"/>
      <c r="C107" s="116"/>
      <c r="D107" s="158"/>
      <c r="E107" s="130"/>
      <c r="F107" s="116"/>
      <c r="G107" s="117"/>
      <c r="H107" s="128"/>
    </row>
    <row r="108" spans="1:8" s="18" customFormat="1" ht="21" customHeight="1" x14ac:dyDescent="0.2">
      <c r="A108" s="143"/>
      <c r="B108" s="116"/>
      <c r="C108" s="116"/>
      <c r="D108" s="158"/>
      <c r="E108" s="130"/>
      <c r="F108" s="116"/>
      <c r="G108" s="117"/>
      <c r="H108" s="128"/>
    </row>
    <row r="109" spans="1:8" s="18" customFormat="1" ht="21" customHeight="1" x14ac:dyDescent="0.2">
      <c r="A109" s="143"/>
      <c r="B109" s="116"/>
      <c r="C109" s="116"/>
      <c r="D109" s="158"/>
      <c r="E109" s="131"/>
      <c r="F109" s="116"/>
      <c r="G109" s="117"/>
      <c r="H109" s="128"/>
    </row>
    <row r="110" spans="1:8" s="18" customFormat="1" ht="21" customHeight="1" x14ac:dyDescent="0.2">
      <c r="A110" s="143"/>
      <c r="B110" s="116"/>
      <c r="C110" s="116"/>
      <c r="D110" s="158"/>
      <c r="E110" s="131"/>
      <c r="F110" s="116"/>
      <c r="G110" s="117"/>
      <c r="H110" s="128"/>
    </row>
    <row r="111" spans="1:8" s="18" customFormat="1" ht="21" customHeight="1" x14ac:dyDescent="0.2">
      <c r="A111" s="143"/>
      <c r="B111" s="116"/>
      <c r="C111" s="116"/>
      <c r="D111" s="158"/>
      <c r="E111" s="131"/>
      <c r="F111" s="116"/>
      <c r="G111" s="117"/>
      <c r="H111" s="128"/>
    </row>
    <row r="112" spans="1:8" s="18" customFormat="1" ht="21" customHeight="1" x14ac:dyDescent="0.2">
      <c r="A112" s="143"/>
      <c r="B112" s="116"/>
      <c r="C112" s="116"/>
      <c r="D112" s="158"/>
      <c r="E112" s="131"/>
      <c r="F112" s="116"/>
      <c r="G112" s="117"/>
      <c r="H112" s="128"/>
    </row>
    <row r="113" spans="1:10" s="18" customFormat="1" ht="21" customHeight="1" x14ac:dyDescent="0.2">
      <c r="A113" s="143"/>
      <c r="B113" s="116"/>
      <c r="C113" s="116"/>
      <c r="D113" s="158"/>
      <c r="E113" s="131"/>
      <c r="F113" s="116"/>
      <c r="G113" s="117"/>
      <c r="H113" s="128"/>
    </row>
    <row r="114" spans="1:10" s="18" customFormat="1" ht="21" customHeight="1" x14ac:dyDescent="0.2">
      <c r="A114" s="143"/>
      <c r="B114" s="116"/>
      <c r="C114" s="116"/>
      <c r="D114" s="158"/>
      <c r="E114" s="131"/>
      <c r="F114" s="116"/>
      <c r="G114" s="117"/>
      <c r="H114" s="128"/>
      <c r="J114" s="69"/>
    </row>
    <row r="115" spans="1:10" s="18" customFormat="1" ht="21" customHeight="1" x14ac:dyDescent="0.2">
      <c r="A115" s="143"/>
      <c r="B115" s="116"/>
      <c r="C115" s="116"/>
      <c r="D115" s="158"/>
      <c r="E115" s="131"/>
      <c r="F115" s="116"/>
      <c r="G115" s="117"/>
      <c r="H115" s="128"/>
      <c r="J115" s="69"/>
    </row>
    <row r="116" spans="1:10" s="18" customFormat="1" ht="21" customHeight="1" x14ac:dyDescent="0.2">
      <c r="A116" s="143"/>
      <c r="B116" s="116"/>
      <c r="C116" s="116"/>
      <c r="D116" s="158"/>
      <c r="E116" s="131"/>
      <c r="F116" s="116"/>
      <c r="G116" s="117"/>
      <c r="H116" s="128"/>
      <c r="J116" s="69"/>
    </row>
    <row r="117" spans="1:10" ht="21" customHeight="1" x14ac:dyDescent="0.2">
      <c r="D117" s="158"/>
    </row>
    <row r="118" spans="1:10" ht="21" customHeight="1" x14ac:dyDescent="0.2">
      <c r="D118" s="158"/>
    </row>
    <row r="119" spans="1:10" ht="21" customHeight="1" x14ac:dyDescent="0.2">
      <c r="D119" s="158"/>
    </row>
    <row r="120" spans="1:10" ht="21" customHeight="1" x14ac:dyDescent="0.2">
      <c r="D120" s="158"/>
    </row>
    <row r="121" spans="1:10" ht="21" customHeight="1" x14ac:dyDescent="0.2">
      <c r="D121" s="158"/>
    </row>
    <row r="122" spans="1:10" ht="21" customHeight="1" x14ac:dyDescent="0.2">
      <c r="D122" s="158"/>
    </row>
    <row r="123" spans="1:10" ht="21" customHeight="1" x14ac:dyDescent="0.2">
      <c r="D123" s="158"/>
    </row>
    <row r="124" spans="1:10" ht="21" customHeight="1" x14ac:dyDescent="0.2">
      <c r="D124" s="158"/>
    </row>
    <row r="125" spans="1:10" ht="21" customHeight="1" x14ac:dyDescent="0.2">
      <c r="D125" s="158"/>
    </row>
    <row r="126" spans="1:10" ht="21" customHeight="1" x14ac:dyDescent="0.2">
      <c r="D126" s="158"/>
    </row>
    <row r="127" spans="1:10" ht="21" customHeight="1" x14ac:dyDescent="0.2">
      <c r="D127" s="158"/>
    </row>
    <row r="128" spans="1:10" ht="21" customHeight="1" x14ac:dyDescent="0.2">
      <c r="D128" s="158"/>
    </row>
    <row r="129" spans="4:4" ht="21" customHeight="1" x14ac:dyDescent="0.2">
      <c r="D129" s="158"/>
    </row>
    <row r="130" spans="4:4" ht="21" customHeight="1" x14ac:dyDescent="0.2">
      <c r="D130" s="158"/>
    </row>
    <row r="131" spans="4:4" ht="21" customHeight="1" x14ac:dyDescent="0.2">
      <c r="D131" s="158"/>
    </row>
    <row r="132" spans="4:4" ht="21" customHeight="1" x14ac:dyDescent="0.2">
      <c r="D132" s="158"/>
    </row>
    <row r="133" spans="4:4" ht="21" customHeight="1" x14ac:dyDescent="0.2">
      <c r="D133" s="158"/>
    </row>
    <row r="134" spans="4:4" ht="21" customHeight="1" x14ac:dyDescent="0.2">
      <c r="D134" s="158"/>
    </row>
    <row r="135" spans="4:4" ht="21" customHeight="1" x14ac:dyDescent="0.2">
      <c r="D135" s="158"/>
    </row>
    <row r="136" spans="4:4" ht="21" customHeight="1" x14ac:dyDescent="0.2">
      <c r="D136" s="158"/>
    </row>
    <row r="137" spans="4:4" ht="21" customHeight="1" x14ac:dyDescent="0.2">
      <c r="D137" s="158"/>
    </row>
    <row r="138" spans="4:4" ht="21" customHeight="1" x14ac:dyDescent="0.2">
      <c r="D138" s="158"/>
    </row>
    <row r="139" spans="4:4" ht="21" customHeight="1" x14ac:dyDescent="0.2">
      <c r="D139" s="158"/>
    </row>
    <row r="140" spans="4:4" ht="21" customHeight="1" x14ac:dyDescent="0.2">
      <c r="D140" s="158"/>
    </row>
    <row r="141" spans="4:4" ht="21" customHeight="1" x14ac:dyDescent="0.2">
      <c r="D141" s="158"/>
    </row>
    <row r="142" spans="4:4" ht="21" customHeight="1" x14ac:dyDescent="0.2">
      <c r="D142" s="158"/>
    </row>
    <row r="143" spans="4:4" ht="21" customHeight="1" x14ac:dyDescent="0.2">
      <c r="D143" s="158"/>
    </row>
    <row r="144" spans="4:4" ht="21" customHeight="1" x14ac:dyDescent="0.2">
      <c r="D144" s="158"/>
    </row>
    <row r="145" spans="4:4" ht="21" customHeight="1" x14ac:dyDescent="0.2">
      <c r="D145" s="158"/>
    </row>
    <row r="146" spans="4:4" ht="21" customHeight="1" x14ac:dyDescent="0.2">
      <c r="D146" s="158"/>
    </row>
    <row r="147" spans="4:4" ht="21" customHeight="1" x14ac:dyDescent="0.2">
      <c r="D147" s="158"/>
    </row>
    <row r="148" spans="4:4" ht="21" customHeight="1" x14ac:dyDescent="0.2">
      <c r="D148" s="158"/>
    </row>
  </sheetData>
  <autoFilter ref="A3:E52" xr:uid="{200E4CA6-6A59-4546-8C55-C57A8A85ED3F}">
    <sortState xmlns:xlrd2="http://schemas.microsoft.com/office/spreadsheetml/2017/richdata2" ref="A4:E78">
      <sortCondition ref="C3:C52"/>
    </sortState>
  </autoFilter>
  <sortState xmlns:xlrd2="http://schemas.microsoft.com/office/spreadsheetml/2017/richdata2" ref="A4:E78">
    <sortCondition ref="D4"/>
    <sortCondition ref="C4"/>
  </sortState>
  <conditionalFormatting sqref="B4:D29 B30:B101 C30:C85 D30:D148">
    <cfRule type="expression" dxfId="65" priority="1">
      <formula>$D4&lt;&gt;$D5</formula>
    </cfRule>
  </conditionalFormatting>
  <dataValidations count="1">
    <dataValidation type="list" showInputMessage="1" showErrorMessage="1" sqref="I2" xr:uid="{C82CE2BC-E962-4E5D-A02B-4D9A373A8E57}">
      <formula1>"OnLine, Siga"</formula1>
    </dataValidation>
  </dataValidations>
  <hyperlinks>
    <hyperlink ref="E61" r:id="rId1" xr:uid="{F3A3F963-75FC-42DB-944C-023378373B12}"/>
    <hyperlink ref="E72" r:id="rId2" xr:uid="{5689ACC0-F761-4D82-8FDC-E209E44005F9}"/>
    <hyperlink ref="E74" r:id="rId3" xr:uid="{4986D10A-91E1-400C-BEE0-84F6E074AD30}"/>
    <hyperlink ref="E77" r:id="rId4" xr:uid="{9176F04D-6BE1-4BE6-B4DA-49683B4B55D8}"/>
    <hyperlink ref="E78" r:id="rId5" xr:uid="{3C82803D-7111-4DC9-ACF0-FF8325F4474A}"/>
    <hyperlink ref="E28" r:id="rId6" xr:uid="{8A084A13-C488-4D03-8E99-59EB05E30EEC}"/>
    <hyperlink ref="E60" r:id="rId7" xr:uid="{6DCEB4C9-B2C2-45DA-B15F-181AD7636DC9}"/>
    <hyperlink ref="E10" r:id="rId8" xr:uid="{2BE3318E-471A-40FA-B52C-6E78EA5AA60A}"/>
    <hyperlink ref="E22" r:id="rId9" xr:uid="{D1C0FA7F-5A3C-468D-B1BB-83C9BC0580FC}"/>
    <hyperlink ref="E36" r:id="rId10" xr:uid="{2AF57C2F-8162-457F-8E2C-6D2992D2C1A7}"/>
    <hyperlink ref="E65" r:id="rId11" xr:uid="{3AF764B4-A78B-4B8E-8DA3-1C80E2490593}"/>
    <hyperlink ref="E66" r:id="rId12" xr:uid="{BC2A52AE-6DD1-4425-BB4C-0DAEBE77138C}"/>
    <hyperlink ref="E64" r:id="rId13" xr:uid="{4A50D193-2030-4017-A8F6-466316B95F4E}"/>
    <hyperlink ref="E6" r:id="rId14" xr:uid="{F1551A5A-0129-4EAD-BA47-41151E616880}"/>
    <hyperlink ref="E34" r:id="rId15" xr:uid="{1FF7A67B-4593-466B-A805-08E7A65EBD7A}"/>
    <hyperlink ref="E71" r:id="rId16" xr:uid="{DEAB69AD-77AF-4520-8F08-D3F95C968958}"/>
    <hyperlink ref="E11" r:id="rId17" xr:uid="{321C10E9-0B0B-4E13-8785-AEE7399D8FE1}"/>
    <hyperlink ref="E49" r:id="rId18" xr:uid="{50C36288-2D8B-4889-932B-B7B5FC53F21D}"/>
    <hyperlink ref="E12" r:id="rId19" xr:uid="{D565AF57-76CA-4597-B26B-F487F494E9CB}"/>
    <hyperlink ref="E5" r:id="rId20" xr:uid="{97DBAEC4-B79C-4120-9C95-7E7242FDFF1F}"/>
    <hyperlink ref="E20" r:id="rId21" xr:uid="{4D947A92-181A-49A5-A5FD-FFD3E1437FFA}"/>
    <hyperlink ref="E25" r:id="rId22" xr:uid="{78FB12D1-6BC8-48A2-9CBB-F85E4988F0B6}"/>
    <hyperlink ref="E42" r:id="rId23" xr:uid="{2DA6BD5D-64CC-4994-A5B3-B1EA4C26626A}"/>
    <hyperlink ref="E43" r:id="rId24" xr:uid="{406129BC-036D-4559-AAE0-04B6ADE3FEE7}"/>
    <hyperlink ref="E48" r:id="rId25" xr:uid="{CEA12C6F-930F-4CCC-A809-5C358E934B17}"/>
    <hyperlink ref="E54" r:id="rId26" xr:uid="{78691000-7E4A-4C4D-8639-726D43934BFB}"/>
    <hyperlink ref="E53" r:id="rId27" xr:uid="{121EF235-5B2B-41E8-B7B0-669E8E1D57F3}"/>
    <hyperlink ref="E58" r:id="rId28" xr:uid="{DB9C9D87-25F9-4706-AC06-CDB237144534}"/>
    <hyperlink ref="E59" r:id="rId29" xr:uid="{531B89E0-825D-453F-8877-E45E5CA0FDA6}"/>
    <hyperlink ref="E41" r:id="rId30" xr:uid="{EAC103AA-E245-4093-8AED-CC0AF8FFBC0F}"/>
    <hyperlink ref="E67" r:id="rId31" xr:uid="{AEFBC623-D0EB-4342-883B-EA490A9A612A}"/>
    <hyperlink ref="E68" r:id="rId32" xr:uid="{509152CF-580B-429C-860B-C552CD542FDC}"/>
    <hyperlink ref="E4" r:id="rId33" xr:uid="{55079F2E-8C64-4823-AD18-E81BFDC5F6C6}"/>
    <hyperlink ref="E21" r:id="rId34" xr:uid="{F2B0B935-16F2-48F9-A56E-17B837AF565F}"/>
    <hyperlink ref="E7" r:id="rId35" xr:uid="{A8B90F07-7A9A-4E0A-B9B3-56D847667A96}"/>
    <hyperlink ref="E27" r:id="rId36" xr:uid="{7DE226D4-D82F-4EED-A279-8AF4AFAAB9AD}"/>
    <hyperlink ref="E33" r:id="rId37" xr:uid="{C78B97E2-0FD9-4FA2-8A4E-A8BDC574650E}"/>
    <hyperlink ref="E30" r:id="rId38" xr:uid="{8C6AEC3F-851F-46AE-BCA9-4D94EF862AEE}"/>
    <hyperlink ref="E9" r:id="rId39" xr:uid="{79DB8334-2F96-4ACA-9AF8-FE88AC765EF2}"/>
    <hyperlink ref="E14" r:id="rId40" xr:uid="{B138EDF6-FDE6-4841-88FB-3B64936AF525}"/>
    <hyperlink ref="E44" r:id="rId41" xr:uid="{31CB571D-8CFE-4C7C-A47B-C5D4806B1BA5}"/>
    <hyperlink ref="E55" r:id="rId42" xr:uid="{DF42B4E6-A289-43F6-B58C-8F85EE01DC92}"/>
    <hyperlink ref="E38" r:id="rId43" xr:uid="{317C2781-E4C7-4C98-8D11-A4315747610E}"/>
    <hyperlink ref="E47" r:id="rId44" xr:uid="{AEF94239-D90E-4AA7-98C8-7B8B2973FE68}"/>
    <hyperlink ref="E62" r:id="rId45" xr:uid="{03920CE2-0369-4438-934F-47E75184D330}"/>
    <hyperlink ref="E15" r:id="rId46" xr:uid="{90799E37-2A95-427F-B046-F1AAAAC9A93F}"/>
    <hyperlink ref="E50" r:id="rId47" xr:uid="{F07D4655-C55A-4180-9541-73DED6717BD9}"/>
    <hyperlink ref="E57" r:id="rId48" xr:uid="{8D7CFA11-13CE-4753-8F69-3ADB5C16570C}"/>
    <hyperlink ref="E56" r:id="rId49" xr:uid="{3746B275-3403-4567-82F9-4AFCEDE080B4}"/>
    <hyperlink ref="E69" r:id="rId50" xr:uid="{3EF950AF-0014-4F1E-AF64-855ADEDA48BD}"/>
    <hyperlink ref="E63" r:id="rId51" xr:uid="{98CCD6E8-8102-49C4-9985-86AE1D32DF8E}"/>
    <hyperlink ref="E70" r:id="rId52" xr:uid="{7C1F1ED4-D0F0-4B3C-A8F7-A65F967D77C0}"/>
    <hyperlink ref="E13" r:id="rId53" xr:uid="{74201AB1-3E4F-469B-AE3D-6BCE06404C81}"/>
    <hyperlink ref="E17" r:id="rId54" xr:uid="{5EEF0B60-A25C-4EE7-B3C4-FD49EB7C4998}"/>
    <hyperlink ref="E23" r:id="rId55" xr:uid="{7E8EB837-CBE2-4BF2-AB81-3BED3DA285AA}"/>
    <hyperlink ref="E29" r:id="rId56" xr:uid="{7F3B8B05-87FB-4A2B-A69C-B2B2F3CF5AD3}"/>
  </hyperlinks>
  <pageMargins left="0.7" right="0.7" top="0.75" bottom="0.75" header="0.3" footer="0.3"/>
  <pageSetup paperSize="9" orientation="portrait" r:id="rId57"/>
  <drawing r:id="rId5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3BFE-D39D-42D8-BDC9-C22EF4270B3E}">
  <sheetPr codeName="Sheet6">
    <tabColor rgb="FF92D050"/>
  </sheetPr>
  <dimension ref="B2:F56"/>
  <sheetViews>
    <sheetView showGridLines="0" topLeftCell="B1" workbookViewId="0">
      <selection activeCell="J54" sqref="J54"/>
    </sheetView>
  </sheetViews>
  <sheetFormatPr defaultColWidth="9.28515625" defaultRowHeight="18" customHeight="1" x14ac:dyDescent="0.2"/>
  <cols>
    <col min="1" max="1" width="5.42578125" style="9" customWidth="1"/>
    <col min="2" max="2" width="1.140625" style="9" customWidth="1"/>
    <col min="3" max="3" width="4.28515625" style="9" customWidth="1"/>
    <col min="4" max="4" width="19.5703125" style="9" customWidth="1"/>
    <col min="5" max="5" width="12.5703125" style="9" customWidth="1"/>
    <col min="6" max="16384" width="9.28515625" style="9"/>
  </cols>
  <sheetData>
    <row r="2" spans="2:6" ht="18" customHeight="1" x14ac:dyDescent="0.2">
      <c r="C2" s="29" t="s">
        <v>136</v>
      </c>
    </row>
    <row r="3" spans="2:6" ht="18" customHeight="1" x14ac:dyDescent="0.2">
      <c r="C3" s="9" t="s">
        <v>137</v>
      </c>
    </row>
    <row r="4" spans="2:6" ht="53.25" customHeight="1" x14ac:dyDescent="0.2">
      <c r="C4" s="19" t="s">
        <v>138</v>
      </c>
      <c r="D4" s="19" t="s">
        <v>32</v>
      </c>
      <c r="E4" s="19" t="s">
        <v>139</v>
      </c>
      <c r="F4" s="20" t="s">
        <v>140</v>
      </c>
    </row>
    <row r="5" spans="2:6" ht="18" customHeight="1" x14ac:dyDescent="0.2">
      <c r="C5" s="9">
        <v>1</v>
      </c>
      <c r="D5" s="9" t="s">
        <v>49</v>
      </c>
      <c r="E5" s="9" t="str" cm="1">
        <f t="array" ref="E5">_xlfn._xlws.FILTER(tIngredientes[Arrumo],tIngredientes[Mantimento]=tSemanal[[#This Row],[Produto]],"NOVO")</f>
        <v>3-Mercearia</v>
      </c>
      <c r="F5" s="19"/>
    </row>
    <row r="6" spans="2:6" ht="18" customHeight="1" x14ac:dyDescent="0.2">
      <c r="C6" s="9">
        <v>0</v>
      </c>
      <c r="D6" s="9" t="s">
        <v>141</v>
      </c>
      <c r="E6" s="9" t="str" cm="1">
        <f t="array" ref="E6">_xlfn._xlws.FILTER(tIngredientes[Arrumo],tIngredientes[Mantimento]=tSemanal[[#This Row],[Produto]],"NOVO")</f>
        <v>7-Frigorifico</v>
      </c>
      <c r="F6" s="19" t="s">
        <v>142</v>
      </c>
    </row>
    <row r="7" spans="2:6" ht="18" customHeight="1" x14ac:dyDescent="0.2">
      <c r="B7" s="18"/>
      <c r="C7" s="9">
        <v>1</v>
      </c>
      <c r="D7" s="9" t="s">
        <v>70</v>
      </c>
      <c r="E7" s="9" t="str" cm="1">
        <f t="array" ref="E7">_xlfn._xlws.FILTER(tIngredientes[Arrumo],tIngredientes[Mantimento]=tSemanal[[#This Row],[Produto]],"NOVO")</f>
        <v>5-Gavetão fogão</v>
      </c>
      <c r="F7" s="19"/>
    </row>
    <row r="8" spans="2:6" ht="18" customHeight="1" x14ac:dyDescent="0.2">
      <c r="C8" s="9">
        <v>1</v>
      </c>
      <c r="D8" s="9" t="s">
        <v>71</v>
      </c>
      <c r="E8" s="9" t="str" cm="1">
        <f t="array" ref="E8">_xlfn._xlws.FILTER(tIngredientes[Arrumo],tIngredientes[Mantimento]=tSemanal[[#This Row],[Produto]],"NOVO")</f>
        <v>5-Gavetão fogão</v>
      </c>
      <c r="F8" s="19"/>
    </row>
    <row r="9" spans="2:6" ht="18" customHeight="1" x14ac:dyDescent="0.2">
      <c r="C9" s="9">
        <v>5</v>
      </c>
      <c r="D9" s="9" t="s">
        <v>35</v>
      </c>
      <c r="E9" s="9" t="str" cm="1">
        <f t="array" ref="E9">_xlfn._xlws.FILTER(tIngredientes[Arrumo],tIngredientes[Mantimento]=tSemanal[[#This Row],[Produto]],"NOVO")</f>
        <v>1-Outros</v>
      </c>
      <c r="F9" s="19" t="s">
        <v>142</v>
      </c>
    </row>
    <row r="10" spans="2:6" ht="18" customHeight="1" x14ac:dyDescent="0.2">
      <c r="C10" s="18">
        <v>1</v>
      </c>
      <c r="D10" s="9" t="s">
        <v>43</v>
      </c>
      <c r="E10" s="9" t="str" cm="1">
        <f t="array" ref="E10">_xlfn._xlws.FILTER(tIngredientes[Arrumo],tIngredientes[Mantimento]=tSemanal[[#This Row],[Produto]],"NOVO")</f>
        <v>2-Gavetão ilha</v>
      </c>
      <c r="F10" s="19" t="s">
        <v>142</v>
      </c>
    </row>
    <row r="11" spans="2:6" ht="18" customHeight="1" x14ac:dyDescent="0.2">
      <c r="C11" s="9">
        <v>6</v>
      </c>
      <c r="D11" s="9" t="s">
        <v>72</v>
      </c>
      <c r="E11" s="9" t="str" cm="1">
        <f t="array" ref="E11">_xlfn._xlws.FILTER(tIngredientes[Arrumo],tIngredientes[Mantimento]=tSemanal[[#This Row],[Produto]],"NOVO")</f>
        <v>5-Gavetão fogão</v>
      </c>
      <c r="F11" s="19"/>
    </row>
    <row r="12" spans="2:6" ht="18" customHeight="1" x14ac:dyDescent="0.2">
      <c r="C12" s="9">
        <v>1</v>
      </c>
      <c r="D12" s="9" t="s">
        <v>51</v>
      </c>
      <c r="E12" s="9" t="str" cm="1">
        <f t="array" ref="E12">_xlfn._xlws.FILTER(tIngredientes[Arrumo],tIngredientes[Mantimento]=tSemanal[[#This Row],[Produto]],"NOVO")</f>
        <v>3-Mercearia</v>
      </c>
      <c r="F12" s="19" t="s">
        <v>142</v>
      </c>
    </row>
    <row r="13" spans="2:6" ht="18" customHeight="1" x14ac:dyDescent="0.2">
      <c r="C13" s="9">
        <v>0</v>
      </c>
      <c r="D13" s="9" t="s">
        <v>143</v>
      </c>
      <c r="E13" s="9" t="str" cm="1">
        <f t="array" ref="E13">_xlfn._xlws.FILTER(tIngredientes[Arrumo],tIngredientes[Mantimento]=tSemanal[[#This Row],[Produto]],"NOVO")</f>
        <v>8-Congelador</v>
      </c>
      <c r="F13" s="19"/>
    </row>
    <row r="14" spans="2:6" ht="18" customHeight="1" x14ac:dyDescent="0.2">
      <c r="C14" s="9">
        <v>1</v>
      </c>
      <c r="D14" s="9" t="s">
        <v>73</v>
      </c>
      <c r="E14" s="9" t="str" cm="1">
        <f t="array" ref="E14">_xlfn._xlws.FILTER(tIngredientes[Arrumo],tIngredientes[Mantimento]=tSemanal[[#This Row],[Produto]],"NOVO")</f>
        <v>5-Gavetão fogão</v>
      </c>
      <c r="F14" s="19"/>
    </row>
    <row r="15" spans="2:6" ht="18" customHeight="1" x14ac:dyDescent="0.2">
      <c r="C15" s="9">
        <v>4</v>
      </c>
      <c r="D15" s="9" t="s">
        <v>38</v>
      </c>
      <c r="E15" s="9" t="str" cm="1">
        <f t="array" ref="E15">_xlfn._xlws.FILTER(tIngredientes[Arrumo],tIngredientes[Mantimento]=tSemanal[[#This Row],[Produto]],"NOVO")</f>
        <v>1-Outros</v>
      </c>
      <c r="F15" s="125"/>
    </row>
    <row r="16" spans="2:6" ht="18" customHeight="1" x14ac:dyDescent="0.2">
      <c r="C16" s="9">
        <v>3</v>
      </c>
      <c r="D16" s="9" t="s">
        <v>74</v>
      </c>
      <c r="E16" s="9" t="str" cm="1">
        <f t="array" ref="E16">_xlfn._xlws.FILTER(tIngredientes[Arrumo],tIngredientes[Mantimento]=tSemanal[[#This Row],[Produto]],"NOVO")</f>
        <v>5-Gavetão fogão</v>
      </c>
      <c r="F16" s="19"/>
    </row>
    <row r="17" spans="3:6" ht="18" customHeight="1" x14ac:dyDescent="0.2">
      <c r="C17" s="9">
        <v>1</v>
      </c>
      <c r="D17" s="9" t="s">
        <v>105</v>
      </c>
      <c r="E17" s="9" t="str" cm="1">
        <f t="array" ref="E17">_xlfn._xlws.FILTER(tIngredientes[Arrumo],tIngredientes[Mantimento]=tSemanal[[#This Row],[Produto]],"NOVO")</f>
        <v>8-Congelador</v>
      </c>
      <c r="F17" s="19" t="s">
        <v>142</v>
      </c>
    </row>
    <row r="18" spans="3:6" ht="18" customHeight="1" x14ac:dyDescent="0.2">
      <c r="C18" s="9">
        <v>1</v>
      </c>
      <c r="D18" s="9" t="s">
        <v>106</v>
      </c>
      <c r="E18" s="9" t="str" cm="1">
        <f t="array" ref="E18">_xlfn._xlws.FILTER(tIngredientes[Arrumo],tIngredientes[Mantimento]=tSemanal[[#This Row],[Produto]],"NOVO")</f>
        <v>8-Congelador</v>
      </c>
      <c r="F18" s="19" t="s">
        <v>142</v>
      </c>
    </row>
    <row r="19" spans="3:6" ht="18" customHeight="1" x14ac:dyDescent="0.2">
      <c r="C19" s="9">
        <v>0</v>
      </c>
      <c r="D19" s="9" t="s">
        <v>144</v>
      </c>
      <c r="E19" s="9" t="str" cm="1">
        <f t="array" ref="E19">_xlfn._xlws.FILTER(tIngredientes[Arrumo],tIngredientes[Mantimento]=tSemanal[[#This Row],[Produto]],"NOVO")</f>
        <v>7-Frigorifico</v>
      </c>
      <c r="F19" s="19" t="s">
        <v>142</v>
      </c>
    </row>
    <row r="20" spans="3:6" ht="18" customHeight="1" x14ac:dyDescent="0.2">
      <c r="C20" s="9">
        <v>1</v>
      </c>
      <c r="D20" s="9" t="s">
        <v>90</v>
      </c>
      <c r="E20" s="9" t="str" cm="1">
        <f t="array" ref="E20">_xlfn._xlws.FILTER(tIngredientes[Arrumo],tIngredientes[Mantimento]=tSemanal[[#This Row],[Produto]],"NOVO")</f>
        <v>7-Frigorifico</v>
      </c>
      <c r="F20" s="19" t="s">
        <v>142</v>
      </c>
    </row>
    <row r="21" spans="3:6" ht="18" customHeight="1" x14ac:dyDescent="0.2">
      <c r="C21" s="9">
        <v>1</v>
      </c>
      <c r="D21" s="9" t="s">
        <v>75</v>
      </c>
      <c r="E21" s="9" t="str" cm="1">
        <f t="array" ref="E21">_xlfn._xlws.FILTER(tIngredientes[Arrumo],tIngredientes[Mantimento]=tSemanal[[#This Row],[Produto]],"NOVO")</f>
        <v>5-Gavetão fogão</v>
      </c>
      <c r="F21" s="19" t="s">
        <v>142</v>
      </c>
    </row>
    <row r="22" spans="3:6" ht="18" customHeight="1" x14ac:dyDescent="0.2">
      <c r="C22" s="9">
        <v>1</v>
      </c>
      <c r="D22" s="9" t="s">
        <v>76</v>
      </c>
      <c r="E22" s="9" t="str" cm="1">
        <f t="array" ref="E22">_xlfn._xlws.FILTER(tIngredientes[Arrumo],tIngredientes[Mantimento]=tSemanal[[#This Row],[Produto]],"NOVO")</f>
        <v>5-Gavetão fogão</v>
      </c>
      <c r="F22" s="19" t="s">
        <v>142</v>
      </c>
    </row>
    <row r="23" spans="3:6" ht="18" customHeight="1" x14ac:dyDescent="0.2">
      <c r="C23" s="9">
        <v>1</v>
      </c>
      <c r="D23" s="9" t="s">
        <v>77</v>
      </c>
      <c r="E23" s="9" t="str" cm="1">
        <f t="array" ref="E23">_xlfn._xlws.FILTER(tIngredientes[Arrumo],tIngredientes[Mantimento]=tSemanal[[#This Row],[Produto]],"NOVO")</f>
        <v>5-Gavetão fogão</v>
      </c>
      <c r="F23" s="19" t="s">
        <v>142</v>
      </c>
    </row>
    <row r="24" spans="3:6" ht="18" customHeight="1" x14ac:dyDescent="0.2">
      <c r="C24" s="9">
        <v>1</v>
      </c>
      <c r="D24" s="9" t="s">
        <v>39</v>
      </c>
      <c r="E24" s="9" t="str" cm="1">
        <f t="array" ref="E24">_xlfn._xlws.FILTER(tIngredientes[Arrumo],tIngredientes[Mantimento]=tSemanal[[#This Row],[Produto]],"NOVO")</f>
        <v>1-Outros</v>
      </c>
      <c r="F24" s="19" t="s">
        <v>142</v>
      </c>
    </row>
    <row r="25" spans="3:6" ht="18" customHeight="1" x14ac:dyDescent="0.2">
      <c r="C25" s="9">
        <v>1</v>
      </c>
      <c r="D25" s="9" t="s">
        <v>91</v>
      </c>
      <c r="E25" s="9" t="str" cm="1">
        <f t="array" ref="E25">_xlfn._xlws.FILTER(tIngredientes[Arrumo],tIngredientes[Mantimento]=tSemanal[[#This Row],[Produto]],"NOVO")</f>
        <v>7-Frigorifico</v>
      </c>
      <c r="F25" s="19" t="s">
        <v>142</v>
      </c>
    </row>
    <row r="26" spans="3:6" ht="18" customHeight="1" x14ac:dyDescent="0.2">
      <c r="C26" s="9">
        <v>2</v>
      </c>
      <c r="D26" s="9" t="s">
        <v>92</v>
      </c>
      <c r="E26" s="9" t="str" cm="1">
        <f t="array" ref="E26">_xlfn._xlws.FILTER(tIngredientes[Arrumo],tIngredientes[Mantimento]=tSemanal[[#This Row],[Produto]],"NOVO")</f>
        <v>7-Frigorifico</v>
      </c>
      <c r="F26" s="19" t="s">
        <v>142</v>
      </c>
    </row>
    <row r="27" spans="3:6" ht="18" customHeight="1" x14ac:dyDescent="0.2">
      <c r="C27" s="9">
        <v>4</v>
      </c>
      <c r="D27" s="9" t="s">
        <v>78</v>
      </c>
      <c r="E27" s="9" t="str" cm="1">
        <f t="array" ref="E27">_xlfn._xlws.FILTER(tIngredientes[Arrumo],tIngredientes[Mantimento]=tSemanal[[#This Row],[Produto]],"NOVO")</f>
        <v>5-Gavetão fogão</v>
      </c>
      <c r="F27" s="19" t="s">
        <v>142</v>
      </c>
    </row>
    <row r="28" spans="3:6" ht="18" customHeight="1" x14ac:dyDescent="0.2">
      <c r="C28" s="9">
        <v>2</v>
      </c>
      <c r="D28" s="9" t="s">
        <v>79</v>
      </c>
      <c r="E28" s="9" t="str" cm="1">
        <f t="array" ref="E28">_xlfn._xlws.FILTER(tIngredientes[Arrumo],tIngredientes[Mantimento]=tSemanal[[#This Row],[Produto]],"NOVO")</f>
        <v>5-Gavetão fogão</v>
      </c>
      <c r="F28" s="19" t="s">
        <v>142</v>
      </c>
    </row>
    <row r="29" spans="3:6" ht="18" customHeight="1" x14ac:dyDescent="0.2">
      <c r="C29" s="9">
        <v>1</v>
      </c>
      <c r="D29" s="9" t="s">
        <v>80</v>
      </c>
      <c r="E29" s="9" t="str" cm="1">
        <f t="array" ref="E29">_xlfn._xlws.FILTER(tIngredientes[Arrumo],tIngredientes[Mantimento]=tSemanal[[#This Row],[Produto]],"NOVO")</f>
        <v>5-Gavetão fogão</v>
      </c>
      <c r="F29" s="19" t="s">
        <v>142</v>
      </c>
    </row>
    <row r="30" spans="3:6" ht="18" customHeight="1" x14ac:dyDescent="0.2">
      <c r="C30" s="9">
        <v>3</v>
      </c>
      <c r="D30" s="9" t="s">
        <v>53</v>
      </c>
      <c r="E30" s="9" t="str" cm="1">
        <f t="array" ref="E30">_xlfn._xlws.FILTER(tIngredientes[Arrumo],tIngredientes[Mantimento]=tSemanal[[#This Row],[Produto]],"NOVO")</f>
        <v>3-Mercearia</v>
      </c>
      <c r="F30" s="19" t="s">
        <v>142</v>
      </c>
    </row>
    <row r="31" spans="3:6" ht="18" customHeight="1" x14ac:dyDescent="0.2">
      <c r="C31" s="9">
        <v>6</v>
      </c>
      <c r="D31" s="9" t="s">
        <v>93</v>
      </c>
      <c r="E31" s="9" t="str" cm="1">
        <f t="array" ref="E31">_xlfn._xlws.FILTER(tIngredientes[Arrumo],tIngredientes[Mantimento]=tSemanal[[#This Row],[Produto]],"NOVO")</f>
        <v>7-Frigorifico</v>
      </c>
      <c r="F31" s="19"/>
    </row>
    <row r="32" spans="3:6" ht="18" customHeight="1" x14ac:dyDescent="0.2">
      <c r="C32" s="9">
        <v>0</v>
      </c>
      <c r="D32" s="9" t="s">
        <v>94</v>
      </c>
      <c r="E32" s="9" t="str" cm="1">
        <f t="array" ref="E32">_xlfn._xlws.FILTER(tIngredientes[Arrumo],tIngredientes[Mantimento]=tSemanal[[#This Row],[Produto]],"NOVO")</f>
        <v>7-Frigorifico</v>
      </c>
      <c r="F32" s="19" t="s">
        <v>142</v>
      </c>
    </row>
    <row r="33" spans="3:6" ht="18" customHeight="1" x14ac:dyDescent="0.2">
      <c r="C33" s="9">
        <v>2</v>
      </c>
      <c r="D33" s="9" t="s">
        <v>95</v>
      </c>
      <c r="E33" s="9" t="str" cm="1">
        <f t="array" ref="E33">_xlfn._xlws.FILTER(tIngredientes[Arrumo],tIngredientes[Mantimento]=tSemanal[[#This Row],[Produto]],"NOVO")</f>
        <v>7-Frigorifico</v>
      </c>
      <c r="F33" s="19"/>
    </row>
    <row r="34" spans="3:6" ht="18" customHeight="1" x14ac:dyDescent="0.2">
      <c r="C34" s="9">
        <v>2</v>
      </c>
      <c r="D34" s="9" t="s">
        <v>96</v>
      </c>
      <c r="E34" s="9" t="str" cm="1">
        <f t="array" ref="E34">_xlfn._xlws.FILTER(tIngredientes[Arrumo],tIngredientes[Mantimento]=tSemanal[[#This Row],[Produto]],"NOVO")</f>
        <v>7-Frigorifico</v>
      </c>
      <c r="F34" s="21"/>
    </row>
    <row r="35" spans="3:6" ht="18" customHeight="1" x14ac:dyDescent="0.2">
      <c r="C35" s="9">
        <v>1</v>
      </c>
      <c r="D35" s="9" t="s">
        <v>45</v>
      </c>
      <c r="E35" s="9" t="str" cm="1">
        <f t="array" ref="E35">_xlfn._xlws.FILTER(tIngredientes[Arrumo],tIngredientes[Mantimento]=tSemanal[[#This Row],[Produto]],"NOVO")</f>
        <v>2-Gavetão ilha</v>
      </c>
      <c r="F35" s="19"/>
    </row>
    <row r="36" spans="3:6" ht="18" customHeight="1" x14ac:dyDescent="0.2">
      <c r="C36" s="9">
        <v>1</v>
      </c>
      <c r="D36" s="9" t="s">
        <v>85</v>
      </c>
      <c r="E36" s="9" t="str" cm="1">
        <f t="array" ref="E36">_xlfn._xlws.FILTER(tIngredientes[Arrumo],tIngredientes[Mantimento]=tSemanal[[#This Row],[Produto]],"NOVO")</f>
        <v>6-Gaveta especiarias</v>
      </c>
      <c r="F36" s="125"/>
    </row>
    <row r="37" spans="3:6" ht="18" customHeight="1" x14ac:dyDescent="0.2">
      <c r="C37" s="9">
        <v>2</v>
      </c>
      <c r="D37" s="9" t="s">
        <v>54</v>
      </c>
      <c r="E37" s="9" t="str" cm="1">
        <f t="array" ref="E37">_xlfn._xlws.FILTER(tIngredientes[Arrumo],tIngredientes[Mantimento]=tSemanal[[#This Row],[Produto]],"NOVO")</f>
        <v>3-Mercearia</v>
      </c>
      <c r="F37" s="19" t="s">
        <v>142</v>
      </c>
    </row>
    <row r="38" spans="3:6" ht="18" customHeight="1" x14ac:dyDescent="0.2">
      <c r="C38" s="9">
        <v>0</v>
      </c>
      <c r="D38" s="9" t="s">
        <v>145</v>
      </c>
      <c r="E38" s="9" t="str" cm="1">
        <f t="array" ref="E38">_xlfn._xlws.FILTER(tIngredientes[Arrumo],tIngredientes[Mantimento]=tSemanal[[#This Row],[Produto]],"NOVO")</f>
        <v>3-Mercearia</v>
      </c>
      <c r="F38" s="19" t="s">
        <v>142</v>
      </c>
    </row>
    <row r="39" spans="3:6" ht="18" customHeight="1" x14ac:dyDescent="0.2">
      <c r="C39" s="9">
        <v>2</v>
      </c>
      <c r="D39" s="9" t="s">
        <v>20</v>
      </c>
      <c r="E39" s="9" t="str" cm="1">
        <f t="array" ref="E39">_xlfn._xlws.FILTER(tIngredientes[Arrumo],tIngredientes[Mantimento]=tSemanal[[#This Row],[Produto]],"NOVO")</f>
        <v>7-Frigorifico</v>
      </c>
      <c r="F39" s="19" t="s">
        <v>142</v>
      </c>
    </row>
    <row r="40" spans="3:6" ht="18" customHeight="1" x14ac:dyDescent="0.2">
      <c r="C40" s="9">
        <v>1</v>
      </c>
      <c r="D40" s="9" t="s">
        <v>40</v>
      </c>
      <c r="E40" s="9" t="str" cm="1">
        <f t="array" ref="E40">_xlfn._xlws.FILTER(tIngredientes[Arrumo],tIngredientes[Mantimento]=tSemanal[[#This Row],[Produto]],"NOVO")</f>
        <v>1-Outros</v>
      </c>
      <c r="F40" s="19" t="s">
        <v>142</v>
      </c>
    </row>
    <row r="41" spans="3:6" ht="18" customHeight="1" x14ac:dyDescent="0.2">
      <c r="C41" s="9">
        <v>2</v>
      </c>
      <c r="D41" s="9" t="s">
        <v>41</v>
      </c>
      <c r="E41" s="9" t="str" cm="1">
        <f t="array" ref="E41">_xlfn._xlws.FILTER(tIngredientes[Arrumo],tIngredientes[Mantimento]=tSemanal[[#This Row],[Produto]],"NOVO")</f>
        <v>1-Outros</v>
      </c>
      <c r="F41" s="19" t="s">
        <v>142</v>
      </c>
    </row>
    <row r="42" spans="3:6" ht="18" customHeight="1" x14ac:dyDescent="0.2">
      <c r="C42" s="9">
        <v>0</v>
      </c>
      <c r="D42" s="9" t="s">
        <v>146</v>
      </c>
      <c r="E42" s="9" t="str" cm="1">
        <f t="array" ref="E42">_xlfn._xlws.FILTER(tIngredientes[Arrumo],tIngredientes[Mantimento]=tSemanal[[#This Row],[Produto]],"NOVO")</f>
        <v>7-Frigorifico</v>
      </c>
      <c r="F42" s="19"/>
    </row>
    <row r="43" spans="3:6" ht="18" customHeight="1" x14ac:dyDescent="0.2">
      <c r="C43" s="9">
        <v>4</v>
      </c>
      <c r="D43" s="9" t="s">
        <v>46</v>
      </c>
      <c r="E43" s="9" t="str" cm="1">
        <f t="array" ref="E43">_xlfn._xlws.FILTER(tIngredientes[Arrumo],tIngredientes[Mantimento]=tSemanal[[#This Row],[Produto]],"NOVO")</f>
        <v>2-Gavetão ilha</v>
      </c>
      <c r="F43" s="19" t="s">
        <v>142</v>
      </c>
    </row>
    <row r="44" spans="3:6" ht="18" customHeight="1" x14ac:dyDescent="0.2">
      <c r="C44" s="9">
        <v>2</v>
      </c>
      <c r="D44" s="9" t="s">
        <v>110</v>
      </c>
      <c r="E44" s="9" t="str" cm="1">
        <f t="array" ref="E44">_xlfn._xlws.FILTER(tIngredientes[Arrumo],tIngredientes[Mantimento]=tSemanal[[#This Row],[Produto]],"NOVO")</f>
        <v>8-Congelador</v>
      </c>
      <c r="F44" s="19" t="s">
        <v>142</v>
      </c>
    </row>
    <row r="45" spans="3:6" ht="18" customHeight="1" x14ac:dyDescent="0.2">
      <c r="C45" s="9">
        <v>1</v>
      </c>
      <c r="D45" s="9" t="s">
        <v>99</v>
      </c>
      <c r="E45" s="9" t="str" cm="1">
        <f t="array" ref="E45">_xlfn._xlws.FILTER(tIngredientes[Arrumo],tIngredientes[Mantimento]=tSemanal[[#This Row],[Produto]],"NOVO")</f>
        <v>7-Frigorifico</v>
      </c>
      <c r="F45" s="19" t="s">
        <v>142</v>
      </c>
    </row>
    <row r="46" spans="3:6" ht="18" customHeight="1" x14ac:dyDescent="0.2">
      <c r="C46" s="9">
        <v>1</v>
      </c>
      <c r="D46" s="9" t="s">
        <v>64</v>
      </c>
      <c r="E46" s="9" t="str" cm="1">
        <f t="array" ref="E46">_xlfn._xlws.FILTER(tIngredientes[Arrumo],tIngredientes[Mantimento]=tSemanal[[#This Row],[Produto]],"NOVO")</f>
        <v>4-Dispensa</v>
      </c>
      <c r="F46" s="19" t="s">
        <v>142</v>
      </c>
    </row>
    <row r="47" spans="3:6" ht="18" customHeight="1" x14ac:dyDescent="0.2">
      <c r="C47" s="9">
        <v>1</v>
      </c>
      <c r="D47" s="9" t="s">
        <v>42</v>
      </c>
      <c r="E47" s="9" t="str" cm="1">
        <f t="array" ref="E47">_xlfn._xlws.FILTER(tIngredientes[Arrumo],tIngredientes[Mantimento]=tSemanal[[#This Row],[Produto]],"NOVO")</f>
        <v>1-Outros</v>
      </c>
      <c r="F47" s="19" t="s">
        <v>142</v>
      </c>
    </row>
    <row r="48" spans="3:6" ht="18" customHeight="1" x14ac:dyDescent="0.2">
      <c r="C48" s="9">
        <v>1</v>
      </c>
      <c r="D48" s="9" t="s">
        <v>82</v>
      </c>
      <c r="E48" s="9" t="str" cm="1">
        <f t="array" ref="E48">_xlfn._xlws.FILTER(tIngredientes[Arrumo],tIngredientes[Mantimento]=tSemanal[[#This Row],[Produto]],"NOVO")</f>
        <v>5-Gavetão fogão</v>
      </c>
      <c r="F48" s="19"/>
    </row>
    <row r="49" spans="3:6" ht="18" customHeight="1" x14ac:dyDescent="0.2">
      <c r="C49" s="9">
        <v>1</v>
      </c>
      <c r="D49" s="9" t="s">
        <v>65</v>
      </c>
      <c r="E49" s="9" t="str" cm="1">
        <f t="array" ref="E49">_xlfn._xlws.FILTER(tIngredientes[Arrumo],tIngredientes[Mantimento]=tSemanal[[#This Row],[Produto]],"NOVO")</f>
        <v>4-Dispensa</v>
      </c>
      <c r="F49" s="19" t="s">
        <v>142</v>
      </c>
    </row>
    <row r="50" spans="3:6" ht="18" customHeight="1" x14ac:dyDescent="0.2">
      <c r="C50" s="9">
        <v>3</v>
      </c>
      <c r="D50" s="9" t="s">
        <v>47</v>
      </c>
      <c r="E50" s="9" t="str" cm="1">
        <f t="array" ref="E50">_xlfn._xlws.FILTER(tIngredientes[Arrumo],tIngredientes[Mantimento]=tSemanal[[#This Row],[Produto]],"NOVO")</f>
        <v>2-Gavetão ilha</v>
      </c>
      <c r="F50" s="19" t="s">
        <v>142</v>
      </c>
    </row>
    <row r="51" spans="3:6" ht="18" customHeight="1" x14ac:dyDescent="0.2">
      <c r="C51" s="9">
        <v>3</v>
      </c>
      <c r="D51" s="9" t="s">
        <v>48</v>
      </c>
      <c r="E51" s="9" t="str" cm="1">
        <f t="array" ref="E51">_xlfn._xlws.FILTER(tIngredientes[Arrumo],tIngredientes[Mantimento]=tSemanal[[#This Row],[Produto]],"NOVO")</f>
        <v>2-Gavetão ilha</v>
      </c>
      <c r="F51" s="19" t="s">
        <v>142</v>
      </c>
    </row>
    <row r="52" spans="3:6" ht="18" customHeight="1" x14ac:dyDescent="0.2">
      <c r="C52" s="9">
        <v>2</v>
      </c>
      <c r="D52" s="9" t="s">
        <v>57</v>
      </c>
      <c r="E52" s="9" t="str" cm="1">
        <f t="array" ref="E52">_xlfn._xlws.FILTER(tIngredientes[Arrumo],tIngredientes[Mantimento]=tSemanal[[#This Row],[Produto]],"NOVO")</f>
        <v>3-Mercearia</v>
      </c>
      <c r="F52" s="19" t="s">
        <v>142</v>
      </c>
    </row>
    <row r="53" spans="3:6" ht="18" customHeight="1" x14ac:dyDescent="0.2">
      <c r="C53" s="9">
        <v>0</v>
      </c>
      <c r="D53" s="9" t="s">
        <v>147</v>
      </c>
      <c r="E53" s="9" t="str" cm="1">
        <f t="array" ref="E53">_xlfn._xlws.FILTER(tIngredientes[Arrumo],tIngredientes[Mantimento]=tSemanal[[#This Row],[Produto]],"NOVO")</f>
        <v>7-Frigorifico</v>
      </c>
      <c r="F53" s="19" t="s">
        <v>142</v>
      </c>
    </row>
    <row r="54" spans="3:6" ht="18" customHeight="1" x14ac:dyDescent="0.2">
      <c r="C54" s="9">
        <v>6</v>
      </c>
      <c r="D54" s="9" t="s">
        <v>112</v>
      </c>
      <c r="E54" s="9" t="str" cm="1">
        <f t="array" ref="E54">_xlfn._xlws.FILTER(tIngredientes[Arrumo],tIngredientes[Mantimento]=tSemanal[[#This Row],[Produto]],"NOVO")</f>
        <v>8-Congelador</v>
      </c>
      <c r="F54" s="19" t="s">
        <v>142</v>
      </c>
    </row>
    <row r="55" spans="3:6" ht="18" customHeight="1" x14ac:dyDescent="0.2">
      <c r="C55" s="9">
        <v>2</v>
      </c>
      <c r="D55" s="9" t="s">
        <v>103</v>
      </c>
      <c r="E55" s="9" t="str" cm="1">
        <f t="array" ref="E55">_xlfn._xlws.FILTER(tIngredientes[Arrumo],tIngredientes[Mantimento]=tSemanal[[#This Row],[Produto]],"NOVO")</f>
        <v>8-Congelador</v>
      </c>
      <c r="F55" s="125"/>
    </row>
    <row r="56" spans="3:6" ht="18" customHeight="1" x14ac:dyDescent="0.2">
      <c r="C56" s="9">
        <v>1</v>
      </c>
      <c r="D56" s="9" t="s">
        <v>104</v>
      </c>
      <c r="E56" s="9" t="str" cm="1">
        <f t="array" ref="E56">_xlfn._xlws.FILTER(tIngredientes[Arrumo],tIngredientes[Mantimento]=tSemanal[[#This Row],[Produto]],"NOVO")</f>
        <v>8-Congelador</v>
      </c>
      <c r="F56" s="125"/>
    </row>
  </sheetData>
  <dataValidations count="1">
    <dataValidation type="list" allowBlank="1" showInputMessage="1" sqref="D5:D56" xr:uid="{B625B106-4335-4E4B-83F2-37FAC1D4EAFC}">
      <formula1>INDIRECT("tIngredientes[Mantimento]")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C741-3199-41C1-9493-1621598F94FD}">
  <sheetPr codeName="wsReceitas"/>
  <dimension ref="A1:T46"/>
  <sheetViews>
    <sheetView workbookViewId="0">
      <selection activeCell="J45" sqref="J45"/>
    </sheetView>
  </sheetViews>
  <sheetFormatPr defaultColWidth="9.28515625" defaultRowHeight="15" x14ac:dyDescent="0.2"/>
  <cols>
    <col min="1" max="1" width="12" style="4" customWidth="1"/>
    <col min="2" max="2" width="12.5703125" style="4" customWidth="1"/>
    <col min="3" max="3" width="11.42578125" style="4" customWidth="1"/>
    <col min="4" max="4" width="7.28515625" style="6" customWidth="1"/>
    <col min="5" max="5" width="12" style="4" customWidth="1"/>
    <col min="6" max="6" width="39.28515625" style="4" customWidth="1"/>
    <col min="7" max="8" width="10.28515625" style="4" customWidth="1"/>
    <col min="9" max="10" width="6.85546875" style="4" customWidth="1"/>
    <col min="11" max="11" width="7.5703125" style="4" customWidth="1"/>
    <col min="12" max="12" width="9.42578125" style="4" customWidth="1"/>
    <col min="13" max="13" width="10.28515625" style="4" customWidth="1"/>
    <col min="14" max="18" width="9.28515625" style="4"/>
    <col min="19" max="19" width="20.140625" style="4" customWidth="1"/>
    <col min="20" max="20" width="10.5703125" style="4" bestFit="1" customWidth="1"/>
    <col min="21" max="16384" width="9.28515625" style="4"/>
  </cols>
  <sheetData>
    <row r="1" spans="1:20" x14ac:dyDescent="0.2">
      <c r="A1" s="1" t="s">
        <v>148</v>
      </c>
      <c r="B1" s="1" t="s">
        <v>149</v>
      </c>
      <c r="C1" s="2" t="s">
        <v>150</v>
      </c>
      <c r="D1" s="3" t="s">
        <v>151</v>
      </c>
      <c r="E1" s="2" t="s">
        <v>152</v>
      </c>
      <c r="F1" s="1" t="s">
        <v>153</v>
      </c>
      <c r="G1" s="1" t="s">
        <v>154</v>
      </c>
      <c r="H1" s="1" t="s">
        <v>155</v>
      </c>
      <c r="I1" s="1" t="s">
        <v>156</v>
      </c>
      <c r="J1" s="1" t="s">
        <v>413</v>
      </c>
      <c r="K1" s="1" t="s">
        <v>157</v>
      </c>
      <c r="L1" s="3"/>
      <c r="M1" s="1" t="s">
        <v>158</v>
      </c>
      <c r="N1" s="1" t="s">
        <v>159</v>
      </c>
      <c r="O1" s="1"/>
      <c r="P1" s="1" t="s">
        <v>160</v>
      </c>
      <c r="R1" s="4">
        <v>90</v>
      </c>
      <c r="S1" s="76" t="s">
        <v>161</v>
      </c>
      <c r="T1" s="4" t="s">
        <v>19</v>
      </c>
    </row>
    <row r="2" spans="1:20" x14ac:dyDescent="0.2">
      <c r="A2" s="5">
        <v>45976</v>
      </c>
      <c r="B2" s="5">
        <f t="shared" ref="B2:B44" si="0">A2+E2+$L$1</f>
        <v>46036</v>
      </c>
      <c r="C2" s="5">
        <v>46130</v>
      </c>
      <c r="D2" s="6">
        <v>4</v>
      </c>
      <c r="E2" s="4">
        <v>60</v>
      </c>
      <c r="F2" s="4" t="s">
        <v>209</v>
      </c>
      <c r="G2" s="4" t="s">
        <v>14</v>
      </c>
      <c r="H2" s="4" t="s">
        <v>73</v>
      </c>
      <c r="J2" s="4" t="s">
        <v>414</v>
      </c>
      <c r="K2" s="4" cm="1">
        <f t="array" ref="K2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2" s="77" t="s">
        <v>13</v>
      </c>
      <c r="N2" s="4" t="s">
        <v>164</v>
      </c>
      <c r="P2" s="91">
        <v>2.5</v>
      </c>
      <c r="R2" s="4">
        <v>90</v>
      </c>
      <c r="S2" s="4" t="s">
        <v>165</v>
      </c>
      <c r="T2" s="4" t="s">
        <v>15</v>
      </c>
    </row>
    <row r="3" spans="1:20" x14ac:dyDescent="0.2">
      <c r="A3" s="5">
        <v>46027</v>
      </c>
      <c r="B3" s="5">
        <f t="shared" si="0"/>
        <v>46057</v>
      </c>
      <c r="C3" s="5">
        <v>46131</v>
      </c>
      <c r="D3" s="6">
        <v>22</v>
      </c>
      <c r="E3" s="4">
        <v>30</v>
      </c>
      <c r="F3" s="4" t="s">
        <v>176</v>
      </c>
      <c r="G3" s="4" t="s">
        <v>18</v>
      </c>
      <c r="H3" s="4" t="s">
        <v>73</v>
      </c>
      <c r="I3" s="4" t="s">
        <v>177</v>
      </c>
      <c r="J3" s="4" t="s">
        <v>414</v>
      </c>
      <c r="K3" s="4" cm="1">
        <f t="array" ref="K3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L3" s="5"/>
      <c r="M3" s="80" t="s">
        <v>17</v>
      </c>
      <c r="N3" s="4" t="s">
        <v>168</v>
      </c>
      <c r="P3" s="91">
        <v>3</v>
      </c>
      <c r="R3" s="4">
        <v>30</v>
      </c>
      <c r="S3" s="4" t="s">
        <v>169</v>
      </c>
      <c r="T3" s="4" t="s">
        <v>17</v>
      </c>
    </row>
    <row r="4" spans="1:20" x14ac:dyDescent="0.2">
      <c r="A4" s="5">
        <v>45999</v>
      </c>
      <c r="B4" s="5">
        <f t="shared" si="0"/>
        <v>46059</v>
      </c>
      <c r="C4" s="5">
        <v>46132</v>
      </c>
      <c r="E4" s="4">
        <v>60</v>
      </c>
      <c r="F4" s="4" t="s">
        <v>189</v>
      </c>
      <c r="G4" s="4" t="s">
        <v>26</v>
      </c>
      <c r="H4" s="4" t="s">
        <v>167</v>
      </c>
      <c r="J4" s="4" t="s">
        <v>26</v>
      </c>
      <c r="K4" s="4" cm="1">
        <f t="array" ref="K4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4" s="83" t="s">
        <v>21</v>
      </c>
      <c r="N4" s="4" t="s">
        <v>163</v>
      </c>
      <c r="P4" s="91">
        <v>2.5</v>
      </c>
      <c r="R4" s="4">
        <v>30</v>
      </c>
      <c r="S4" s="4" t="s">
        <v>171</v>
      </c>
      <c r="T4" s="4" t="s">
        <v>15</v>
      </c>
    </row>
    <row r="5" spans="1:20" x14ac:dyDescent="0.2">
      <c r="A5" s="5">
        <v>46030</v>
      </c>
      <c r="B5" s="5">
        <f t="shared" si="0"/>
        <v>46060</v>
      </c>
      <c r="C5" s="5">
        <v>46133</v>
      </c>
      <c r="D5" s="6">
        <v>12</v>
      </c>
      <c r="E5" s="4">
        <v>30</v>
      </c>
      <c r="F5" s="4" t="s">
        <v>193</v>
      </c>
      <c r="G5" s="4" t="s">
        <v>16</v>
      </c>
      <c r="H5" s="4" t="s">
        <v>168</v>
      </c>
      <c r="J5" s="4" t="s">
        <v>414</v>
      </c>
      <c r="K5" s="4" cm="1">
        <f t="array" ref="K5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5" s="86" t="s">
        <v>25</v>
      </c>
      <c r="N5" s="4" t="s">
        <v>73</v>
      </c>
      <c r="P5" s="91">
        <v>3</v>
      </c>
      <c r="R5" s="4">
        <v>60</v>
      </c>
      <c r="S5" s="4" t="s">
        <v>173</v>
      </c>
      <c r="T5" s="4" t="s">
        <v>14</v>
      </c>
    </row>
    <row r="6" spans="1:20" x14ac:dyDescent="0.2">
      <c r="A6" s="5">
        <v>46002</v>
      </c>
      <c r="B6" s="5">
        <f t="shared" si="0"/>
        <v>46062</v>
      </c>
      <c r="C6" s="5">
        <v>46134</v>
      </c>
      <c r="D6" s="6">
        <v>24</v>
      </c>
      <c r="E6" s="4">
        <v>60</v>
      </c>
      <c r="F6" s="4" t="s">
        <v>198</v>
      </c>
      <c r="G6" s="4" t="s">
        <v>25</v>
      </c>
      <c r="H6" s="4" t="s">
        <v>163</v>
      </c>
      <c r="J6" s="4" t="s">
        <v>414</v>
      </c>
      <c r="K6" s="4" cm="1">
        <f t="array" ref="K6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6" s="78" t="s">
        <v>14</v>
      </c>
      <c r="N6" s="4" t="s">
        <v>167</v>
      </c>
      <c r="P6" s="91">
        <v>3.5</v>
      </c>
    </row>
    <row r="7" spans="1:20" x14ac:dyDescent="0.2">
      <c r="A7" s="5">
        <v>46035</v>
      </c>
      <c r="B7" s="5">
        <f t="shared" si="0"/>
        <v>46065</v>
      </c>
      <c r="C7" s="5">
        <v>46135</v>
      </c>
      <c r="D7" s="6">
        <v>8</v>
      </c>
      <c r="E7" s="4">
        <v>30</v>
      </c>
      <c r="F7" s="4" t="s">
        <v>192</v>
      </c>
      <c r="G7" s="4" t="s">
        <v>22</v>
      </c>
      <c r="H7" s="4" t="s">
        <v>164</v>
      </c>
      <c r="I7" s="4" t="s">
        <v>94</v>
      </c>
      <c r="J7" s="4" t="s">
        <v>414</v>
      </c>
      <c r="K7" s="4" cm="1">
        <f t="array" ref="K7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7" s="81" t="s">
        <v>18</v>
      </c>
      <c r="P7" s="91">
        <v>4</v>
      </c>
    </row>
    <row r="8" spans="1:20" x14ac:dyDescent="0.2">
      <c r="A8" s="5">
        <v>46036</v>
      </c>
      <c r="B8" s="5">
        <f t="shared" si="0"/>
        <v>46066</v>
      </c>
      <c r="C8" s="5">
        <v>46137</v>
      </c>
      <c r="D8" s="6">
        <v>20</v>
      </c>
      <c r="E8" s="4">
        <v>30</v>
      </c>
      <c r="F8" s="4" t="s">
        <v>199</v>
      </c>
      <c r="G8" s="4" t="s">
        <v>20</v>
      </c>
      <c r="H8" s="4" t="s">
        <v>164</v>
      </c>
      <c r="J8" s="4" t="s">
        <v>414</v>
      </c>
      <c r="K8" s="4" cm="1">
        <f t="array" ref="K8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8" s="84" t="s">
        <v>22</v>
      </c>
      <c r="P8" s="91">
        <v>3.5</v>
      </c>
    </row>
    <row r="9" spans="1:20" x14ac:dyDescent="0.2">
      <c r="A9" s="5">
        <v>46007</v>
      </c>
      <c r="B9" s="5">
        <f t="shared" si="0"/>
        <v>46067</v>
      </c>
      <c r="C9" s="90">
        <v>46138</v>
      </c>
      <c r="D9" s="6">
        <v>27</v>
      </c>
      <c r="E9" s="4">
        <v>60</v>
      </c>
      <c r="F9" s="4" t="s">
        <v>203</v>
      </c>
      <c r="G9" s="4" t="s">
        <v>27</v>
      </c>
      <c r="H9" s="4" t="s">
        <v>164</v>
      </c>
      <c r="J9" s="4" t="s">
        <v>414</v>
      </c>
      <c r="K9" s="4" cm="1">
        <f t="array" ref="K9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9" s="79" t="s">
        <v>15</v>
      </c>
      <c r="P9" s="91">
        <v>3</v>
      </c>
    </row>
    <row r="10" spans="1:20" x14ac:dyDescent="0.2">
      <c r="A10" s="5">
        <v>46042</v>
      </c>
      <c r="B10" s="5">
        <f t="shared" si="0"/>
        <v>46072</v>
      </c>
      <c r="C10" s="5">
        <v>46136</v>
      </c>
      <c r="D10" s="6">
        <v>37</v>
      </c>
      <c r="E10" s="4">
        <v>30</v>
      </c>
      <c r="F10" s="4" t="s">
        <v>179</v>
      </c>
      <c r="G10" s="4" t="s">
        <v>28</v>
      </c>
      <c r="H10" s="4" t="s">
        <v>168</v>
      </c>
      <c r="J10" s="4" t="s">
        <v>26</v>
      </c>
      <c r="K10" s="4" cm="1">
        <f t="array" ref="K10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10" s="82" t="s">
        <v>19</v>
      </c>
      <c r="P10" s="91">
        <v>3</v>
      </c>
    </row>
    <row r="11" spans="1:20" x14ac:dyDescent="0.2">
      <c r="A11" s="5">
        <v>46053</v>
      </c>
      <c r="B11" s="5">
        <f t="shared" si="0"/>
        <v>46083</v>
      </c>
      <c r="C11" s="5">
        <v>46139</v>
      </c>
      <c r="D11" s="6">
        <v>13</v>
      </c>
      <c r="E11" s="4">
        <v>30</v>
      </c>
      <c r="F11" s="4" t="s">
        <v>201</v>
      </c>
      <c r="G11" s="4" t="s">
        <v>17</v>
      </c>
      <c r="H11" s="4" t="s">
        <v>163</v>
      </c>
      <c r="J11" s="4" t="s">
        <v>414</v>
      </c>
      <c r="K11" s="4" cm="1">
        <f t="array" ref="K11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11" s="85" t="s">
        <v>23</v>
      </c>
      <c r="P11" s="91">
        <v>2.5</v>
      </c>
    </row>
    <row r="12" spans="1:20" x14ac:dyDescent="0.2">
      <c r="A12" s="5">
        <v>46024</v>
      </c>
      <c r="B12" s="5">
        <f t="shared" si="0"/>
        <v>46084</v>
      </c>
      <c r="C12" s="5">
        <v>46140</v>
      </c>
      <c r="D12" s="6">
        <v>39</v>
      </c>
      <c r="E12" s="4">
        <v>60</v>
      </c>
      <c r="F12" s="4" t="s">
        <v>195</v>
      </c>
      <c r="G12" s="4" t="s">
        <v>23</v>
      </c>
      <c r="H12" s="4" t="s">
        <v>167</v>
      </c>
      <c r="J12" s="4" t="s">
        <v>26</v>
      </c>
      <c r="K12" s="4" cm="1">
        <f t="array" ref="K12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12" s="87" t="s">
        <v>26</v>
      </c>
      <c r="P12" s="4">
        <v>4</v>
      </c>
      <c r="T12" s="5"/>
    </row>
    <row r="13" spans="1:20" x14ac:dyDescent="0.2">
      <c r="A13" s="5">
        <v>46055</v>
      </c>
      <c r="B13" s="5">
        <f t="shared" si="0"/>
        <v>46085</v>
      </c>
      <c r="C13" s="5">
        <v>46141</v>
      </c>
      <c r="D13" s="6">
        <v>31</v>
      </c>
      <c r="E13" s="4">
        <v>30</v>
      </c>
      <c r="F13" s="4" t="s">
        <v>200</v>
      </c>
      <c r="G13" s="4" t="s">
        <v>18</v>
      </c>
      <c r="H13" s="4" t="s">
        <v>73</v>
      </c>
      <c r="J13" s="4" t="s">
        <v>414</v>
      </c>
      <c r="K13" s="4" cm="1">
        <f t="array" ref="K13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13" s="88" t="s">
        <v>28</v>
      </c>
      <c r="P13" s="4">
        <v>3.5</v>
      </c>
      <c r="T13" s="5"/>
    </row>
    <row r="14" spans="1:20" x14ac:dyDescent="0.2">
      <c r="A14" s="5">
        <v>46062</v>
      </c>
      <c r="B14" s="5">
        <f t="shared" si="0"/>
        <v>46092</v>
      </c>
      <c r="C14" s="5">
        <v>46142</v>
      </c>
      <c r="D14" s="6">
        <v>38</v>
      </c>
      <c r="E14" s="4">
        <v>30</v>
      </c>
      <c r="F14" s="4" t="s">
        <v>172</v>
      </c>
      <c r="G14" s="4" t="s">
        <v>17</v>
      </c>
      <c r="H14" s="4" t="s">
        <v>164</v>
      </c>
      <c r="J14" s="4" t="s">
        <v>414</v>
      </c>
      <c r="K14" s="4" cm="1">
        <f t="array" ref="K14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1</v>
      </c>
      <c r="M14" s="4" t="s">
        <v>16</v>
      </c>
      <c r="P14" s="4">
        <v>4</v>
      </c>
      <c r="T14" s="5"/>
    </row>
    <row r="15" spans="1:20" x14ac:dyDescent="0.2">
      <c r="A15" s="5">
        <v>46063</v>
      </c>
      <c r="B15" s="5">
        <f t="shared" si="0"/>
        <v>46093</v>
      </c>
      <c r="C15" s="5">
        <v>46143</v>
      </c>
      <c r="D15" s="6">
        <v>36</v>
      </c>
      <c r="E15" s="4">
        <v>30</v>
      </c>
      <c r="F15" s="4" t="s">
        <v>178</v>
      </c>
      <c r="G15" s="4" t="s">
        <v>14</v>
      </c>
      <c r="H15" s="4" t="s">
        <v>164</v>
      </c>
      <c r="I15" s="4" t="s">
        <v>54</v>
      </c>
      <c r="J15" s="4" t="s">
        <v>414</v>
      </c>
      <c r="K15" s="4" cm="1">
        <f t="array" ref="K15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15" s="4" t="s">
        <v>20</v>
      </c>
      <c r="P15" s="4">
        <v>3</v>
      </c>
      <c r="T15" s="5"/>
    </row>
    <row r="16" spans="1:20" x14ac:dyDescent="0.2">
      <c r="A16" s="5">
        <v>46041</v>
      </c>
      <c r="B16" s="5">
        <f t="shared" si="0"/>
        <v>46101</v>
      </c>
      <c r="C16" s="5">
        <v>46144</v>
      </c>
      <c r="D16" s="6">
        <v>35</v>
      </c>
      <c r="E16" s="4">
        <v>60</v>
      </c>
      <c r="F16" s="4" t="s">
        <v>212</v>
      </c>
      <c r="G16" s="4" t="s">
        <v>17</v>
      </c>
      <c r="H16" s="4" t="s">
        <v>168</v>
      </c>
      <c r="I16" s="4" t="s">
        <v>177</v>
      </c>
      <c r="J16" s="4" t="s">
        <v>414</v>
      </c>
      <c r="K16" s="4" cm="1">
        <f t="array" ref="K16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1</v>
      </c>
      <c r="M16" s="4" t="s">
        <v>24</v>
      </c>
      <c r="P16" s="4">
        <v>3.5</v>
      </c>
      <c r="T16" s="5"/>
    </row>
    <row r="17" spans="1:20" x14ac:dyDescent="0.2">
      <c r="A17" s="5">
        <v>46072</v>
      </c>
      <c r="B17" s="5">
        <f t="shared" si="0"/>
        <v>46102</v>
      </c>
      <c r="C17" s="5">
        <v>46145</v>
      </c>
      <c r="E17" s="4">
        <v>30</v>
      </c>
      <c r="F17" s="4" t="s">
        <v>194</v>
      </c>
      <c r="G17" s="4" t="s">
        <v>26</v>
      </c>
      <c r="H17" s="4" t="s">
        <v>164</v>
      </c>
      <c r="J17" s="4" t="s">
        <v>26</v>
      </c>
      <c r="K17" s="4" cm="1">
        <f t="array" ref="K17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M17" s="4" t="s">
        <v>27</v>
      </c>
      <c r="P17" s="4">
        <v>5</v>
      </c>
      <c r="T17" s="5"/>
    </row>
    <row r="18" spans="1:20" x14ac:dyDescent="0.2">
      <c r="A18" s="5">
        <v>46073</v>
      </c>
      <c r="B18" s="5">
        <f t="shared" si="0"/>
        <v>46103</v>
      </c>
      <c r="C18" s="5">
        <v>46146</v>
      </c>
      <c r="D18" s="6">
        <v>14</v>
      </c>
      <c r="E18" s="4">
        <v>30</v>
      </c>
      <c r="F18" s="4" t="s">
        <v>204</v>
      </c>
      <c r="G18" s="4" t="s">
        <v>19</v>
      </c>
      <c r="H18" s="4" t="s">
        <v>205</v>
      </c>
      <c r="J18" s="4" t="s">
        <v>26</v>
      </c>
      <c r="K18" s="4" cm="1">
        <f t="array" ref="K18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18" s="4">
        <v>4</v>
      </c>
      <c r="T18" s="5"/>
    </row>
    <row r="19" spans="1:20" x14ac:dyDescent="0.2">
      <c r="A19" s="5">
        <v>46044</v>
      </c>
      <c r="B19" s="5">
        <f t="shared" si="0"/>
        <v>46104</v>
      </c>
      <c r="C19" s="5">
        <v>46147</v>
      </c>
      <c r="D19" s="6">
        <v>17</v>
      </c>
      <c r="E19" s="4">
        <v>60</v>
      </c>
      <c r="F19" s="4" t="s">
        <v>211</v>
      </c>
      <c r="G19" s="4" t="s">
        <v>14</v>
      </c>
      <c r="H19" s="4" t="s">
        <v>168</v>
      </c>
      <c r="J19" s="4" t="s">
        <v>414</v>
      </c>
      <c r="K19" s="4" cm="1">
        <f t="array" ref="K19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1</v>
      </c>
      <c r="P19" s="4">
        <v>3</v>
      </c>
      <c r="T19" s="5"/>
    </row>
    <row r="20" spans="1:20" x14ac:dyDescent="0.2">
      <c r="A20" s="5">
        <v>46045</v>
      </c>
      <c r="B20" s="5">
        <f t="shared" si="0"/>
        <v>46105</v>
      </c>
      <c r="C20" s="5">
        <v>46148</v>
      </c>
      <c r="D20" s="6">
        <v>23</v>
      </c>
      <c r="E20" s="4">
        <v>60</v>
      </c>
      <c r="F20" s="4" t="s">
        <v>190</v>
      </c>
      <c r="G20" s="4" t="s">
        <v>21</v>
      </c>
      <c r="H20" s="4" t="s">
        <v>167</v>
      </c>
      <c r="J20" s="4" t="s">
        <v>414</v>
      </c>
      <c r="K20" s="4" cm="1">
        <f t="array" ref="K20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T20" s="5"/>
    </row>
    <row r="21" spans="1:20" x14ac:dyDescent="0.2">
      <c r="A21" s="5">
        <v>46076</v>
      </c>
      <c r="B21" s="5">
        <f t="shared" si="0"/>
        <v>46106</v>
      </c>
      <c r="C21" s="5">
        <v>46149</v>
      </c>
      <c r="D21" s="6">
        <v>34</v>
      </c>
      <c r="E21" s="4">
        <v>30</v>
      </c>
      <c r="F21" s="4" t="s">
        <v>202</v>
      </c>
      <c r="G21" s="4" t="s">
        <v>21</v>
      </c>
      <c r="H21" s="4" t="s">
        <v>168</v>
      </c>
      <c r="J21" s="4" t="s">
        <v>414</v>
      </c>
      <c r="K21" s="4" cm="1">
        <f t="array" ref="K21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1</v>
      </c>
      <c r="P21" s="4">
        <v>4</v>
      </c>
      <c r="T21" s="5"/>
    </row>
    <row r="22" spans="1:20" x14ac:dyDescent="0.2">
      <c r="A22" s="5">
        <v>46048</v>
      </c>
      <c r="B22" s="5">
        <f t="shared" si="0"/>
        <v>46108</v>
      </c>
      <c r="C22" s="5">
        <v>46150</v>
      </c>
      <c r="D22" s="6">
        <v>5</v>
      </c>
      <c r="E22" s="4">
        <v>60</v>
      </c>
      <c r="F22" s="4" t="s">
        <v>166</v>
      </c>
      <c r="G22" s="4" t="s">
        <v>13</v>
      </c>
      <c r="H22" s="4" t="s">
        <v>167</v>
      </c>
      <c r="J22" s="4" t="s">
        <v>414</v>
      </c>
      <c r="K22" s="4" cm="1">
        <f t="array" ref="K22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22" s="4">
        <v>3.5</v>
      </c>
      <c r="T22" s="5"/>
    </row>
    <row r="23" spans="1:20" x14ac:dyDescent="0.2">
      <c r="A23" s="5">
        <v>46049</v>
      </c>
      <c r="B23" s="5">
        <f t="shared" si="0"/>
        <v>46109</v>
      </c>
      <c r="C23" s="5">
        <v>46151</v>
      </c>
      <c r="D23" s="6">
        <v>43</v>
      </c>
      <c r="E23" s="4">
        <v>60</v>
      </c>
      <c r="F23" s="4" t="s">
        <v>208</v>
      </c>
      <c r="G23" s="4" t="s">
        <v>23</v>
      </c>
      <c r="H23" s="4" t="s">
        <v>164</v>
      </c>
      <c r="J23" s="4" t="s">
        <v>26</v>
      </c>
      <c r="K23" s="4" cm="1">
        <f t="array" ref="K23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23" s="4">
        <v>5</v>
      </c>
      <c r="T23" s="5"/>
    </row>
    <row r="24" spans="1:20" x14ac:dyDescent="0.2">
      <c r="A24" s="5">
        <v>46084</v>
      </c>
      <c r="B24" s="5">
        <f t="shared" si="0"/>
        <v>46114</v>
      </c>
      <c r="C24" s="5">
        <v>46152</v>
      </c>
      <c r="D24" s="6">
        <v>30</v>
      </c>
      <c r="E24" s="4">
        <v>30</v>
      </c>
      <c r="F24" s="4" t="s">
        <v>187</v>
      </c>
      <c r="G24" s="4" t="s">
        <v>17</v>
      </c>
      <c r="H24" s="4" t="s">
        <v>168</v>
      </c>
      <c r="I24" s="4" t="s">
        <v>177</v>
      </c>
      <c r="J24" s="4" t="s">
        <v>414</v>
      </c>
      <c r="K24" s="4" cm="1">
        <f t="array" ref="K24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24" s="4">
        <v>3.5</v>
      </c>
      <c r="T24" s="5"/>
    </row>
    <row r="25" spans="1:20" x14ac:dyDescent="0.2">
      <c r="A25" s="5">
        <v>46058</v>
      </c>
      <c r="B25" s="5">
        <f t="shared" si="0"/>
        <v>46118</v>
      </c>
      <c r="C25" s="5">
        <v>46153</v>
      </c>
      <c r="D25" s="6">
        <v>1</v>
      </c>
      <c r="E25" s="4">
        <v>60</v>
      </c>
      <c r="F25" s="4" t="s">
        <v>214</v>
      </c>
      <c r="G25" s="4" t="s">
        <v>23</v>
      </c>
      <c r="H25" s="4" t="s">
        <v>164</v>
      </c>
      <c r="I25" s="4" t="s">
        <v>94</v>
      </c>
      <c r="J25" s="4" t="s">
        <v>26</v>
      </c>
      <c r="K25" s="4" cm="1">
        <f t="array" ref="K25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1</v>
      </c>
      <c r="P25" s="4">
        <v>3</v>
      </c>
      <c r="T25" s="5"/>
    </row>
    <row r="26" spans="1:20" x14ac:dyDescent="0.2">
      <c r="A26" s="5">
        <v>46032</v>
      </c>
      <c r="B26" s="5">
        <f t="shared" si="0"/>
        <v>46122</v>
      </c>
      <c r="C26" s="5">
        <v>46154</v>
      </c>
      <c r="D26" s="6">
        <v>15</v>
      </c>
      <c r="E26" s="4">
        <v>90</v>
      </c>
      <c r="F26" s="4" t="s">
        <v>180</v>
      </c>
      <c r="G26" s="4" t="s">
        <v>19</v>
      </c>
      <c r="H26" s="4" t="s">
        <v>164</v>
      </c>
      <c r="J26" s="4" t="s">
        <v>26</v>
      </c>
      <c r="K26" s="4" cm="1">
        <f t="array" ref="K26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26" s="4">
        <v>1</v>
      </c>
      <c r="T26" s="5"/>
    </row>
    <row r="27" spans="1:20" x14ac:dyDescent="0.2">
      <c r="A27" s="5">
        <v>46093</v>
      </c>
      <c r="B27" s="5">
        <f t="shared" si="0"/>
        <v>46123</v>
      </c>
      <c r="C27" s="5">
        <v>46155</v>
      </c>
      <c r="D27" s="6">
        <v>2</v>
      </c>
      <c r="E27" s="4">
        <v>30</v>
      </c>
      <c r="F27" s="4" t="s">
        <v>181</v>
      </c>
      <c r="G27" s="4" t="s">
        <v>19</v>
      </c>
      <c r="H27" s="4" t="s">
        <v>167</v>
      </c>
      <c r="J27" s="4" t="s">
        <v>26</v>
      </c>
      <c r="K27" s="4" cm="1">
        <f t="array" ref="K27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1</v>
      </c>
      <c r="P27" s="4">
        <v>4</v>
      </c>
      <c r="T27" s="5"/>
    </row>
    <row r="28" spans="1:20" x14ac:dyDescent="0.2">
      <c r="A28" s="5">
        <v>46034</v>
      </c>
      <c r="B28" s="5">
        <f t="shared" si="0"/>
        <v>46124</v>
      </c>
      <c r="C28" s="5">
        <v>46156</v>
      </c>
      <c r="D28" s="6">
        <v>29</v>
      </c>
      <c r="E28" s="4">
        <v>90</v>
      </c>
      <c r="F28" s="4" t="s">
        <v>191</v>
      </c>
      <c r="G28" s="4" t="s">
        <v>13</v>
      </c>
      <c r="H28" s="4" t="s">
        <v>164</v>
      </c>
      <c r="J28" s="4" t="s">
        <v>414</v>
      </c>
      <c r="K28" s="4" cm="1">
        <f t="array" ref="K28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28" s="4">
        <v>3.5</v>
      </c>
      <c r="T28" s="5"/>
    </row>
    <row r="29" spans="1:20" x14ac:dyDescent="0.2">
      <c r="A29" s="5">
        <v>46070</v>
      </c>
      <c r="B29" s="5">
        <f t="shared" si="0"/>
        <v>46130</v>
      </c>
      <c r="C29" s="5">
        <v>46157</v>
      </c>
      <c r="D29" s="6">
        <v>44</v>
      </c>
      <c r="E29" s="4">
        <v>60</v>
      </c>
      <c r="F29" s="4" t="s">
        <v>174</v>
      </c>
      <c r="G29" s="4" t="s">
        <v>13</v>
      </c>
      <c r="H29" s="4" t="s">
        <v>168</v>
      </c>
      <c r="I29" s="4" t="s">
        <v>54</v>
      </c>
      <c r="J29" s="4" t="s">
        <v>414</v>
      </c>
      <c r="K29" s="4" cm="1">
        <f t="array" ref="K29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1</v>
      </c>
      <c r="P29" s="4">
        <v>5</v>
      </c>
      <c r="T29" s="5"/>
    </row>
    <row r="30" spans="1:20" x14ac:dyDescent="0.2">
      <c r="A30" s="5">
        <v>46104</v>
      </c>
      <c r="B30" s="5">
        <f t="shared" si="0"/>
        <v>46134</v>
      </c>
      <c r="C30" s="5">
        <v>46158</v>
      </c>
      <c r="E30" s="4">
        <v>30</v>
      </c>
      <c r="F30" s="4" t="s">
        <v>188</v>
      </c>
      <c r="G30" s="4" t="s">
        <v>21</v>
      </c>
      <c r="H30" s="4" t="s">
        <v>168</v>
      </c>
      <c r="J30" s="4" t="s">
        <v>414</v>
      </c>
      <c r="K30" s="4" cm="1">
        <f t="array" ref="K30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30" s="4">
        <v>5</v>
      </c>
    </row>
    <row r="31" spans="1:20" x14ac:dyDescent="0.2">
      <c r="A31" s="5">
        <v>46077</v>
      </c>
      <c r="B31" s="5">
        <f t="shared" si="0"/>
        <v>46137</v>
      </c>
      <c r="C31" s="5">
        <v>46159</v>
      </c>
      <c r="D31" s="6">
        <v>9</v>
      </c>
      <c r="E31" s="4">
        <v>60</v>
      </c>
      <c r="F31" s="4" t="s">
        <v>162</v>
      </c>
      <c r="G31" s="4" t="s">
        <v>14</v>
      </c>
      <c r="H31" s="4" t="s">
        <v>163</v>
      </c>
      <c r="J31" s="4" t="s">
        <v>414</v>
      </c>
      <c r="K31" s="4" cm="1">
        <f t="array" ref="K31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31" s="4">
        <v>3.5</v>
      </c>
    </row>
    <row r="32" spans="1:20" x14ac:dyDescent="0.2">
      <c r="A32" s="5">
        <v>46083</v>
      </c>
      <c r="B32" s="5">
        <f t="shared" si="0"/>
        <v>46143</v>
      </c>
      <c r="C32" s="5">
        <v>46160</v>
      </c>
      <c r="D32" s="6">
        <v>18</v>
      </c>
      <c r="E32" s="4">
        <v>60</v>
      </c>
      <c r="F32" s="4" t="s">
        <v>170</v>
      </c>
      <c r="G32" s="4" t="s">
        <v>23</v>
      </c>
      <c r="H32" s="4" t="s">
        <v>168</v>
      </c>
      <c r="J32" s="4" t="s">
        <v>26</v>
      </c>
      <c r="K32" s="4" cm="1">
        <f t="array" ref="K32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32" s="4">
        <v>2</v>
      </c>
    </row>
    <row r="33" spans="1:16" x14ac:dyDescent="0.2">
      <c r="A33" s="5">
        <v>46056</v>
      </c>
      <c r="B33" s="5">
        <f t="shared" si="0"/>
        <v>46146</v>
      </c>
      <c r="C33" s="90">
        <v>46161</v>
      </c>
      <c r="D33" s="6">
        <v>41</v>
      </c>
      <c r="E33" s="4">
        <v>90</v>
      </c>
      <c r="F33" s="4" t="s">
        <v>196</v>
      </c>
      <c r="G33" s="4" t="s">
        <v>14</v>
      </c>
      <c r="H33" s="4" t="s">
        <v>163</v>
      </c>
      <c r="J33" s="4" t="s">
        <v>414</v>
      </c>
      <c r="K33" s="4" cm="1">
        <f t="array" ref="K33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1</v>
      </c>
      <c r="P33" s="4">
        <v>4.5</v>
      </c>
    </row>
    <row r="34" spans="1:16" x14ac:dyDescent="0.2">
      <c r="A34" s="5">
        <v>46086</v>
      </c>
      <c r="B34" s="5">
        <f t="shared" si="0"/>
        <v>46146</v>
      </c>
      <c r="C34" s="5">
        <v>46162</v>
      </c>
      <c r="D34" s="6">
        <v>21</v>
      </c>
      <c r="E34" s="4">
        <v>60</v>
      </c>
      <c r="F34" s="4" t="s">
        <v>183</v>
      </c>
      <c r="G34" s="4" t="s">
        <v>17</v>
      </c>
      <c r="H34" s="4" t="s">
        <v>168</v>
      </c>
      <c r="I34" s="4" t="s">
        <v>54</v>
      </c>
      <c r="J34" s="4" t="s">
        <v>414</v>
      </c>
      <c r="K34" s="4" cm="1">
        <f t="array" ref="K34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34" s="4">
        <v>3</v>
      </c>
    </row>
    <row r="35" spans="1:16" x14ac:dyDescent="0.2">
      <c r="A35" s="5">
        <v>46118</v>
      </c>
      <c r="B35" s="5">
        <f t="shared" si="0"/>
        <v>46148</v>
      </c>
      <c r="C35" s="5">
        <v>46163</v>
      </c>
      <c r="D35" s="6">
        <v>6</v>
      </c>
      <c r="E35" s="4">
        <v>30</v>
      </c>
      <c r="F35" s="4" t="s">
        <v>184</v>
      </c>
      <c r="G35" s="4" t="s">
        <v>13</v>
      </c>
      <c r="H35" s="4" t="s">
        <v>168</v>
      </c>
      <c r="J35" s="4" t="s">
        <v>414</v>
      </c>
      <c r="K35" s="4" cm="1">
        <f t="array" ref="K35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35" s="4">
        <v>4</v>
      </c>
    </row>
    <row r="36" spans="1:16" x14ac:dyDescent="0.2">
      <c r="A36" s="5">
        <v>46095</v>
      </c>
      <c r="B36" s="5">
        <f t="shared" si="0"/>
        <v>46155</v>
      </c>
      <c r="C36" s="5">
        <v>46164</v>
      </c>
      <c r="D36" s="6">
        <v>26</v>
      </c>
      <c r="E36" s="4">
        <v>60</v>
      </c>
      <c r="F36" s="4" t="s">
        <v>186</v>
      </c>
      <c r="G36" s="4" t="s">
        <v>21</v>
      </c>
      <c r="H36" s="4" t="s">
        <v>168</v>
      </c>
      <c r="J36" s="4" t="s">
        <v>414</v>
      </c>
      <c r="K36" s="4" cm="1">
        <f t="array" ref="K36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36" s="4">
        <v>3.5</v>
      </c>
    </row>
    <row r="37" spans="1:16" x14ac:dyDescent="0.2">
      <c r="A37" s="5">
        <v>46105</v>
      </c>
      <c r="B37" s="5">
        <f t="shared" si="0"/>
        <v>46165</v>
      </c>
      <c r="C37" s="5">
        <v>46165</v>
      </c>
      <c r="D37" s="6">
        <v>11</v>
      </c>
      <c r="E37" s="4">
        <v>60</v>
      </c>
      <c r="F37" s="4" t="s">
        <v>197</v>
      </c>
      <c r="G37" s="4" t="s">
        <v>24</v>
      </c>
      <c r="H37" s="4" t="s">
        <v>163</v>
      </c>
      <c r="J37" s="4" t="s">
        <v>414</v>
      </c>
      <c r="K37" s="4" cm="1">
        <f t="array" ref="K37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37" s="4">
        <v>3</v>
      </c>
    </row>
    <row r="38" spans="1:16" x14ac:dyDescent="0.2">
      <c r="A38" s="5">
        <v>46106</v>
      </c>
      <c r="B38" s="5">
        <f t="shared" si="0"/>
        <v>46166</v>
      </c>
      <c r="C38" s="5">
        <v>46166</v>
      </c>
      <c r="D38" s="6">
        <v>28</v>
      </c>
      <c r="E38" s="4">
        <v>60</v>
      </c>
      <c r="F38" s="4" t="s">
        <v>175</v>
      </c>
      <c r="G38" s="4" t="s">
        <v>14</v>
      </c>
      <c r="H38" s="4" t="s">
        <v>168</v>
      </c>
      <c r="J38" s="4" t="s">
        <v>414</v>
      </c>
      <c r="K38" s="4" cm="1">
        <f t="array" ref="K38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38" s="4">
        <v>3.5</v>
      </c>
    </row>
    <row r="39" spans="1:16" x14ac:dyDescent="0.2">
      <c r="A39" s="5">
        <v>46078</v>
      </c>
      <c r="B39" s="5">
        <f t="shared" si="0"/>
        <v>46168</v>
      </c>
      <c r="C39" s="5">
        <v>46167</v>
      </c>
      <c r="D39" s="6">
        <v>7</v>
      </c>
      <c r="E39" s="4">
        <v>90</v>
      </c>
      <c r="F39" s="4" t="s">
        <v>207</v>
      </c>
      <c r="G39" s="4" t="s">
        <v>20</v>
      </c>
      <c r="H39" s="4" t="s">
        <v>164</v>
      </c>
      <c r="J39" s="4" t="s">
        <v>414</v>
      </c>
      <c r="K39" s="4" cm="1">
        <f t="array" ref="K39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39" s="4">
        <v>3</v>
      </c>
    </row>
    <row r="40" spans="1:16" x14ac:dyDescent="0.2">
      <c r="A40" s="5">
        <v>46112</v>
      </c>
      <c r="B40" s="5">
        <f t="shared" si="0"/>
        <v>46172</v>
      </c>
      <c r="C40" s="5">
        <v>46168</v>
      </c>
      <c r="D40" s="6">
        <v>40</v>
      </c>
      <c r="E40" s="4">
        <v>60</v>
      </c>
      <c r="F40" s="4" t="s">
        <v>182</v>
      </c>
      <c r="G40" s="4" t="s">
        <v>14</v>
      </c>
      <c r="H40" s="4" t="s">
        <v>164</v>
      </c>
      <c r="J40" s="4" t="s">
        <v>414</v>
      </c>
      <c r="K40" s="4" cm="1">
        <f t="array" ref="K40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1</v>
      </c>
      <c r="P40" s="4">
        <v>3</v>
      </c>
    </row>
    <row r="41" spans="1:16" x14ac:dyDescent="0.2">
      <c r="A41" s="5">
        <v>46115</v>
      </c>
      <c r="B41" s="5">
        <f t="shared" si="0"/>
        <v>46175</v>
      </c>
      <c r="C41" s="5">
        <v>46169</v>
      </c>
      <c r="D41" s="6">
        <v>10</v>
      </c>
      <c r="E41" s="4">
        <v>60</v>
      </c>
      <c r="F41" s="4" t="s">
        <v>206</v>
      </c>
      <c r="G41" s="4" t="s">
        <v>22</v>
      </c>
      <c r="H41" s="4" t="s">
        <v>168</v>
      </c>
      <c r="I41" s="4" t="s">
        <v>54</v>
      </c>
      <c r="J41" s="4" t="s">
        <v>414</v>
      </c>
      <c r="K41" s="4" cm="1">
        <f t="array" ref="K41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41" s="4">
        <v>4</v>
      </c>
    </row>
    <row r="42" spans="1:16" x14ac:dyDescent="0.2">
      <c r="A42" s="5">
        <v>46089</v>
      </c>
      <c r="B42" s="5">
        <f t="shared" si="0"/>
        <v>46179</v>
      </c>
      <c r="C42" s="5">
        <v>46170</v>
      </c>
      <c r="D42" s="6">
        <v>33</v>
      </c>
      <c r="E42" s="4">
        <v>90</v>
      </c>
      <c r="F42" s="4" t="s">
        <v>210</v>
      </c>
      <c r="G42" s="4" t="s">
        <v>14</v>
      </c>
      <c r="H42" s="4" t="s">
        <v>163</v>
      </c>
      <c r="J42" s="4" t="s">
        <v>414</v>
      </c>
      <c r="K42" s="4" cm="1">
        <f t="array" ref="K42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2</v>
      </c>
      <c r="P42" s="4">
        <v>4</v>
      </c>
    </row>
    <row r="43" spans="1:16" x14ac:dyDescent="0.2">
      <c r="A43" s="5">
        <v>46120</v>
      </c>
      <c r="B43" s="5">
        <f t="shared" si="0"/>
        <v>46180</v>
      </c>
      <c r="C43" s="5">
        <v>46171</v>
      </c>
      <c r="D43" s="6">
        <v>25</v>
      </c>
      <c r="E43" s="4">
        <v>60</v>
      </c>
      <c r="F43" s="4" t="s">
        <v>185</v>
      </c>
      <c r="G43" s="4" t="s">
        <v>26</v>
      </c>
      <c r="H43" s="4" t="s">
        <v>167</v>
      </c>
      <c r="J43" s="4" t="s">
        <v>26</v>
      </c>
      <c r="K43" s="4" cm="1">
        <f t="array" ref="K43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43" s="4">
        <v>3</v>
      </c>
    </row>
    <row r="44" spans="1:16" x14ac:dyDescent="0.2">
      <c r="A44" s="5">
        <v>46107</v>
      </c>
      <c r="B44" s="5">
        <f t="shared" si="0"/>
        <v>46197</v>
      </c>
      <c r="C44" s="5">
        <v>46172</v>
      </c>
      <c r="D44" s="6">
        <v>42</v>
      </c>
      <c r="E44" s="4">
        <v>90</v>
      </c>
      <c r="F44" s="4" t="s">
        <v>213</v>
      </c>
      <c r="G44" s="4" t="s">
        <v>28</v>
      </c>
      <c r="H44" s="4" t="s">
        <v>167</v>
      </c>
      <c r="J44" s="4" t="s">
        <v>26</v>
      </c>
      <c r="K44" s="4" cm="1">
        <f t="array" ref="K44">SUMPRODUCT((tReceitas[Real]&lt;tReceitas[[#This Row],[Real]])*(tReceitas[Real]&gt;tReceitas[[#This Row],[Real]]-5)*(tReceitas[Proteina]=tReceitas[[#This Row],[Proteina]]))+
SUMPRODUCT((tReceitas[Real]&lt;tReceitas[[#This Row],[Real]])*(tReceitas[Real]&gt;tReceitas[[#This Row],[Real]]-5)*(tReceitas[Outros]=tReceitas[[#This Row],[Outros]])*(tReceitas[Outros]&lt;&gt;""))</f>
        <v>0</v>
      </c>
      <c r="P44" s="4">
        <v>4</v>
      </c>
    </row>
    <row r="45" spans="1:16" x14ac:dyDescent="0.2">
      <c r="P45" s="4">
        <v>4.5</v>
      </c>
    </row>
    <row r="46" spans="1:16" x14ac:dyDescent="0.2">
      <c r="P46" s="4">
        <v>4.5</v>
      </c>
    </row>
  </sheetData>
  <autoFilter ref="P1:P46" xr:uid="{B80FC741-3199-41C1-9493-1621598F94FD}"/>
  <sortState xmlns:xlrd2="http://schemas.microsoft.com/office/spreadsheetml/2017/richdata2" ref="A2:K44">
    <sortCondition ref="B2"/>
    <sortCondition ref="A2"/>
  </sortState>
  <dataConsolidate/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2202A-9DF7-4504-98C5-7637A510DBAD}">
  <sheetPr codeName="wsProdutos"/>
  <dimension ref="A1:U151"/>
  <sheetViews>
    <sheetView topLeftCell="A89" workbookViewId="0">
      <selection activeCell="B114" sqref="B114"/>
    </sheetView>
  </sheetViews>
  <sheetFormatPr defaultColWidth="9.28515625" defaultRowHeight="12.75" x14ac:dyDescent="0.2"/>
  <cols>
    <col min="1" max="1" width="12.42578125" style="10" bestFit="1" customWidth="1"/>
    <col min="2" max="2" width="25.140625" style="9" customWidth="1"/>
    <col min="3" max="3" width="18.42578125" style="9" customWidth="1"/>
    <col min="4" max="4" width="13.140625" style="9" bestFit="1" customWidth="1"/>
    <col min="5" max="6" width="18.42578125" style="9" customWidth="1"/>
    <col min="7" max="7" width="10.28515625" style="24" customWidth="1"/>
    <col min="8" max="8" width="15" style="12" customWidth="1"/>
    <col min="9" max="9" width="9.28515625" style="12" customWidth="1"/>
    <col min="10" max="10" width="12.28515625" style="25" customWidth="1"/>
    <col min="11" max="11" width="12.140625" style="27" customWidth="1"/>
    <col min="12" max="13" width="12.28515625" style="42" customWidth="1"/>
    <col min="14" max="14" width="11.85546875" style="42" customWidth="1"/>
    <col min="16" max="16" width="9.28515625" style="10"/>
    <col min="17" max="17" width="24.5703125" style="10" customWidth="1"/>
    <col min="18" max="18" width="9.28515625" style="10"/>
    <col min="19" max="19" width="15.28515625" style="10" customWidth="1"/>
    <col min="20" max="20" width="9.28515625" style="10"/>
    <col min="21" max="21" width="18.42578125" style="10" customWidth="1"/>
    <col min="22" max="16384" width="9.28515625" style="10"/>
  </cols>
  <sheetData>
    <row r="1" spans="1:21" s="17" customFormat="1" ht="30" customHeight="1" x14ac:dyDescent="0.2">
      <c r="A1" s="17" t="s">
        <v>215</v>
      </c>
      <c r="B1" s="16" t="s">
        <v>216</v>
      </c>
      <c r="C1" s="16" t="s">
        <v>139</v>
      </c>
      <c r="D1" s="16" t="s">
        <v>219</v>
      </c>
      <c r="E1" s="22" t="s">
        <v>220</v>
      </c>
      <c r="F1" s="23" t="s">
        <v>221</v>
      </c>
      <c r="G1" s="23" t="s">
        <v>222</v>
      </c>
      <c r="H1" s="23" t="s">
        <v>223</v>
      </c>
      <c r="I1" s="26" t="s">
        <v>224</v>
      </c>
      <c r="J1" s="41" t="s">
        <v>225</v>
      </c>
      <c r="K1" s="41" t="s">
        <v>226</v>
      </c>
      <c r="L1" s="41" t="s">
        <v>227</v>
      </c>
      <c r="M1" s="16" t="s">
        <v>217</v>
      </c>
      <c r="N1" s="16" t="s">
        <v>218</v>
      </c>
      <c r="R1" s="17" t="s">
        <v>139</v>
      </c>
      <c r="S1" s="17" t="s">
        <v>228</v>
      </c>
      <c r="T1" s="17" t="s">
        <v>229</v>
      </c>
      <c r="U1" s="17" t="s">
        <v>230</v>
      </c>
    </row>
    <row r="2" spans="1:21" x14ac:dyDescent="0.2">
      <c r="A2" s="15">
        <f>IF(SUM(H2,J2:L2)=0,"",IF(ISNUMBER(SEARCH("E",E2)),tIngredientes[[#This Row],[Manter stock]]+tIngredientes[[#This Row],[Adicionar stock à lista das receitas]]*(J2+IFERROR(_xlfn.CEILING.MATH(K2/F2)+_xlfn.CEILING.MATH(L2/F2),0)),IF(E2="U",tIngredientes[[#This Row],[Manter stock]]+_xlfn.CEILING.MATH(tIngredientes[[#This Row],[Adicionar stock à lista das receitas]]*K2),IF(E2="M",tIngredientes[[#This Row],[Manter stock]]+tIngredientes[[#This Row],[Adicionar stock à lista das receitas]]*L2&amp;G2,"ERRO"))))</f>
        <v>1</v>
      </c>
      <c r="B2" s="9" t="s">
        <v>49</v>
      </c>
      <c r="C2" s="9" t="s">
        <v>50</v>
      </c>
      <c r="D2" s="9" t="s">
        <v>233</v>
      </c>
      <c r="E2" s="24" t="s">
        <v>234</v>
      </c>
      <c r="F2" s="12">
        <v>1000</v>
      </c>
      <c r="G2" s="12" t="s">
        <v>235</v>
      </c>
      <c r="H2" s="25" cm="1">
        <f t="array" ref="H2">_xlfn._xlws.FILTER(tSemanal[Q],tSemanal[Produto]=tIngredientes[[#This Row],[Mantimento]],0)</f>
        <v>1</v>
      </c>
      <c r="I2" s="27" cm="1">
        <f t="array" ref="I2">IF(tIngredientes[[#This Row],[Manter stock]]=0,1,IF(_xlfn._xlws.FILTER(tSemanal[Somar a quantidade à lista das receitas],tSemanal[Produto]=tIngredientes[[#This Row],[Mantimento]],"")="X",1,0))</f>
        <v>0</v>
      </c>
      <c r="J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" s="9" t="s">
        <v>231</v>
      </c>
      <c r="N2" s="9" t="s">
        <v>232</v>
      </c>
      <c r="O2" s="10"/>
      <c r="R2" s="10" t="s">
        <v>36</v>
      </c>
      <c r="S2" s="10" t="s">
        <v>236</v>
      </c>
      <c r="T2" s="10" t="s">
        <v>237</v>
      </c>
      <c r="U2" s="10" t="s">
        <v>122</v>
      </c>
    </row>
    <row r="3" spans="1:21" x14ac:dyDescent="0.2">
      <c r="A3" s="15" t="str">
        <f>IF(SUM(H3,J3:L3)=0,"",IF(ISNUMBER(SEARCH("E",E3)),tIngredientes[[#This Row],[Manter stock]]+tIngredientes[[#This Row],[Adicionar stock à lista das receitas]]*(J3+IFERROR(_xlfn.CEILING.MATH(K3/F3)+_xlfn.CEILING.MATH(L3/F3),0)),IF(E3="U",tIngredientes[[#This Row],[Manter stock]]+_xlfn.CEILING.MATH(tIngredientes[[#This Row],[Adicionar stock à lista das receitas]]*K3),IF(E3="M",tIngredientes[[#This Row],[Manter stock]]+tIngredientes[[#This Row],[Adicionar stock à lista das receitas]]*L3&amp;G3,"ERRO"))))</f>
        <v/>
      </c>
      <c r="B3" s="9" t="s">
        <v>238</v>
      </c>
      <c r="C3" s="9" t="s">
        <v>84</v>
      </c>
      <c r="D3" s="9" t="s">
        <v>233</v>
      </c>
      <c r="E3" s="24" t="s">
        <v>234</v>
      </c>
      <c r="F3" s="12">
        <v>50</v>
      </c>
      <c r="G3" s="12" t="s">
        <v>235</v>
      </c>
      <c r="H3" s="25" cm="1">
        <f t="array" ref="H3">_xlfn._xlws.FILTER(tSemanal[Q],tSemanal[Produto]=tIngredientes[[#This Row],[Mantimento]],0)</f>
        <v>0</v>
      </c>
      <c r="I3" s="27" cm="1">
        <f t="array" ref="I3">IF(tIngredientes[[#This Row],[Manter stock]]=0,1,IF(_xlfn._xlws.FILTER(tSemanal[Somar a quantidade à lista das receitas],tSemanal[Produto]=tIngredientes[[#This Row],[Mantimento]],"")="X",1,0))</f>
        <v>1</v>
      </c>
      <c r="J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" s="9" t="s">
        <v>239</v>
      </c>
      <c r="N3" s="9" t="s">
        <v>126</v>
      </c>
      <c r="O3" s="10"/>
      <c r="R3" s="10" t="s">
        <v>44</v>
      </c>
      <c r="S3" s="10" t="s">
        <v>240</v>
      </c>
      <c r="T3" s="10" t="s">
        <v>235</v>
      </c>
      <c r="U3" s="10" t="s">
        <v>241</v>
      </c>
    </row>
    <row r="4" spans="1:21" x14ac:dyDescent="0.2">
      <c r="A4" s="15" t="str">
        <f>IF(SUM(H4,J4:L4)=0,"",IF(ISNUMBER(SEARCH("E",E4)),tIngredientes[[#This Row],[Manter stock]]+tIngredientes[[#This Row],[Adicionar stock à lista das receitas]]*(J4+IFERROR(_xlfn.CEILING.MATH(K4/F4)+_xlfn.CEILING.MATH(L4/F4),0)),IF(E4="U",tIngredientes[[#This Row],[Manter stock]]+_xlfn.CEILING.MATH(tIngredientes[[#This Row],[Adicionar stock à lista das receitas]]*K4),IF(E4="M",tIngredientes[[#This Row],[Manter stock]]+tIngredientes[[#This Row],[Adicionar stock à lista das receitas]]*L4&amp;G4,"ERRO"))))</f>
        <v/>
      </c>
      <c r="B4" s="9" t="s">
        <v>141</v>
      </c>
      <c r="C4" s="9" t="s">
        <v>87</v>
      </c>
      <c r="D4" s="9" t="s">
        <v>233</v>
      </c>
      <c r="E4" s="24" t="s">
        <v>236</v>
      </c>
      <c r="F4" s="12">
        <v>1</v>
      </c>
      <c r="G4" s="12" t="s">
        <v>237</v>
      </c>
      <c r="H4" s="25" cm="1">
        <f t="array" ref="H4">_xlfn._xlws.FILTER(tSemanal[Q],tSemanal[Produto]=tIngredientes[[#This Row],[Mantimento]],0)</f>
        <v>0</v>
      </c>
      <c r="I4" s="27" cm="1">
        <f t="array" ref="I4">IF(tIngredientes[[#This Row],[Manter stock]]=0,1,IF(_xlfn._xlws.FILTER(tSemanal[Somar a quantidade à lista das receitas],tSemanal[Produto]=tIngredientes[[#This Row],[Mantimento]],"")="X",1,0))</f>
        <v>1</v>
      </c>
      <c r="J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" s="9" t="s">
        <v>242</v>
      </c>
      <c r="N4" s="9" t="s">
        <v>118</v>
      </c>
      <c r="O4" s="10"/>
      <c r="R4" s="10" t="s">
        <v>50</v>
      </c>
      <c r="S4" s="10" t="s">
        <v>243</v>
      </c>
      <c r="T4" s="10" t="s">
        <v>244</v>
      </c>
      <c r="U4" s="10" t="s">
        <v>124</v>
      </c>
    </row>
    <row r="5" spans="1:21" x14ac:dyDescent="0.2">
      <c r="A5" s="15">
        <f>IF(SUM(H5,J5:L5)=0,"",IF(ISNUMBER(SEARCH("E",E5)),tIngredientes[[#This Row],[Manter stock]]+tIngredientes[[#This Row],[Adicionar stock à lista das receitas]]*(J5+IFERROR(_xlfn.CEILING.MATH(K5/F5)+_xlfn.CEILING.MATH(L5/F5),0)),IF(E5="U",tIngredientes[[#This Row],[Manter stock]]+_xlfn.CEILING.MATH(tIngredientes[[#This Row],[Adicionar stock à lista das receitas]]*K5),IF(E5="M",tIngredientes[[#This Row],[Manter stock]]+tIngredientes[[#This Row],[Adicionar stock à lista das receitas]]*L5&amp;G5,"ERRO"))))</f>
        <v>1</v>
      </c>
      <c r="B5" s="9" t="s">
        <v>68</v>
      </c>
      <c r="C5" s="9" t="s">
        <v>69</v>
      </c>
      <c r="D5" s="9" t="s">
        <v>233</v>
      </c>
      <c r="E5" s="24" t="s">
        <v>243</v>
      </c>
      <c r="F5" s="12">
        <v>10</v>
      </c>
      <c r="G5" s="12" t="s">
        <v>237</v>
      </c>
      <c r="H5" s="25" cm="1">
        <f t="array" ref="H5">_xlfn._xlws.FILTER(tSemanal[Q],tSemanal[Produto]=tIngredientes[[#This Row],[Mantimento]],0)</f>
        <v>0</v>
      </c>
      <c r="I5" s="27" cm="1">
        <f t="array" ref="I5">IF(tIngredientes[[#This Row],[Manter stock]]=0,1,IF(_xlfn._xlws.FILTER(tSemanal[Somar a quantidade à lista das receitas],tSemanal[Produto]=tIngredientes[[#This Row],[Mantimento]],"")="X",1,0))</f>
        <v>1</v>
      </c>
      <c r="J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" s="42">
        <f>SUMIFS(tPorReceita[Quantidade],tPorReceita[Mantimento],"="&amp;tIngredientes[[#This Row],[Mantimento]],tPorReceita[Data],"&gt;="&amp;iPeriodoDeRefeições,tPorReceita[Data],"&lt;="&amp;fPeriodoDeRefeições,tPorReceita[Medida],"=un")</f>
        <v>2</v>
      </c>
      <c r="L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5" s="9" t="s">
        <v>245</v>
      </c>
      <c r="N5" s="9" t="s">
        <v>118</v>
      </c>
      <c r="O5" s="10"/>
      <c r="R5" s="10" t="s">
        <v>59</v>
      </c>
      <c r="S5" s="10" t="s">
        <v>234</v>
      </c>
      <c r="U5" s="10" t="s">
        <v>123</v>
      </c>
    </row>
    <row r="6" spans="1:21" x14ac:dyDescent="0.2">
      <c r="A6" s="15">
        <f>IF(SUM(H6,J6:L6)=0,"",IF(ISNUMBER(SEARCH("E",E6)),tIngredientes[[#This Row],[Manter stock]]+tIngredientes[[#This Row],[Adicionar stock à lista das receitas]]*(J6+IFERROR(_xlfn.CEILING.MATH(K6/F6)+_xlfn.CEILING.MATH(L6/F6),0)),IF(E6="U",tIngredientes[[#This Row],[Manter stock]]+_xlfn.CEILING.MATH(tIngredientes[[#This Row],[Adicionar stock à lista das receitas]]*K6),IF(E6="M",tIngredientes[[#This Row],[Manter stock]]+tIngredientes[[#This Row],[Adicionar stock à lista das receitas]]*L6&amp;G6,"ERRO"))))</f>
        <v>2</v>
      </c>
      <c r="B6" s="9" t="s">
        <v>100</v>
      </c>
      <c r="C6" s="9" t="s">
        <v>101</v>
      </c>
      <c r="D6" s="9" t="s">
        <v>233</v>
      </c>
      <c r="E6" s="24" t="s">
        <v>234</v>
      </c>
      <c r="F6" s="12">
        <v>150</v>
      </c>
      <c r="G6" s="12" t="s">
        <v>235</v>
      </c>
      <c r="H6" s="25">
        <v>2</v>
      </c>
      <c r="I6" s="27" cm="1">
        <f t="array" ref="I6">IF(tIngredientes[[#This Row],[Manter stock]]=0,1,IF(_xlfn._xlws.FILTER(tSemanal[Somar a quantidade à lista das receitas],tSemanal[Produto]=tIngredientes[[#This Row],[Mantimento]],"")="X",1,0))</f>
        <v>0</v>
      </c>
      <c r="J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10</v>
      </c>
      <c r="M6" s="9" t="s">
        <v>246</v>
      </c>
      <c r="N6" s="9" t="s">
        <v>117</v>
      </c>
      <c r="O6" s="10"/>
      <c r="Q6" s="28"/>
      <c r="R6" s="10" t="s">
        <v>69</v>
      </c>
      <c r="U6" s="10" t="s">
        <v>247</v>
      </c>
    </row>
    <row r="7" spans="1:21" x14ac:dyDescent="0.2">
      <c r="A7" s="15" t="str">
        <f>IF(SUM(H7,J7:L7)=0,"",IF(ISNUMBER(SEARCH("E",E7)),tIngredientes[[#This Row],[Manter stock]]+tIngredientes[[#This Row],[Adicionar stock à lista das receitas]]*(J7+IFERROR(_xlfn.CEILING.MATH(K7/F7)+_xlfn.CEILING.MATH(L7/F7),0)),IF(E7="U",tIngredientes[[#This Row],[Manter stock]]+_xlfn.CEILING.MATH(tIngredientes[[#This Row],[Adicionar stock à lista das receitas]]*K7),IF(E7="M",tIngredientes[[#This Row],[Manter stock]]+tIngredientes[[#This Row],[Adicionar stock à lista das receitas]]*L7&amp;G7,"ERRO"))))</f>
        <v/>
      </c>
      <c r="B7" s="9" t="s">
        <v>248</v>
      </c>
      <c r="C7" s="9" t="s">
        <v>84</v>
      </c>
      <c r="D7" s="9" t="s">
        <v>233</v>
      </c>
      <c r="E7" s="24" t="s">
        <v>234</v>
      </c>
      <c r="F7" s="12">
        <v>50</v>
      </c>
      <c r="G7" s="12" t="s">
        <v>235</v>
      </c>
      <c r="H7" s="25" cm="1">
        <f t="array" ref="H7">_xlfn._xlws.FILTER(tSemanal[Q],tSemanal[Produto]=tIngredientes[[#This Row],[Mantimento]],0)</f>
        <v>0</v>
      </c>
      <c r="I7" s="27" cm="1">
        <f t="array" ref="I7">IF(tIngredientes[[#This Row],[Manter stock]]=0,1,IF(_xlfn._xlws.FILTER(tSemanal[Somar a quantidade à lista das receitas],tSemanal[Produto]=tIngredientes[[#This Row],[Mantimento]],"")="X",1,0))</f>
        <v>1</v>
      </c>
      <c r="J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" s="9" t="s">
        <v>239</v>
      </c>
      <c r="N7" s="9" t="s">
        <v>126</v>
      </c>
      <c r="O7" s="10"/>
      <c r="R7" s="10" t="s">
        <v>84</v>
      </c>
      <c r="U7" s="10" t="s">
        <v>129</v>
      </c>
    </row>
    <row r="8" spans="1:21" x14ac:dyDescent="0.2">
      <c r="A8" s="15" t="str">
        <f>IF(SUM(H8,J8:L8)=0,"",IF(ISNUMBER(SEARCH("E",E8)),tIngredientes[[#This Row],[Manter stock]]+tIngredientes[[#This Row],[Adicionar stock à lista das receitas]]*(J8+IFERROR(_xlfn.CEILING.MATH(K8/F8)+_xlfn.CEILING.MATH(L8/F8),0)),IF(E8="U",tIngredientes[[#This Row],[Manter stock]]+_xlfn.CEILING.MATH(tIngredientes[[#This Row],[Adicionar stock à lista das receitas]]*K8),IF(E8="M",tIngredientes[[#This Row],[Manter stock]]+tIngredientes[[#This Row],[Adicionar stock à lista das receitas]]*L8&amp;G8,"ERRO"))))</f>
        <v/>
      </c>
      <c r="B8" s="9" t="s">
        <v>249</v>
      </c>
      <c r="C8" s="9" t="s">
        <v>87</v>
      </c>
      <c r="D8" s="9" t="s">
        <v>233</v>
      </c>
      <c r="E8" s="24" t="s">
        <v>236</v>
      </c>
      <c r="F8" s="12"/>
      <c r="G8" s="12"/>
      <c r="H8" s="25" cm="1">
        <f t="array" ref="H8">_xlfn._xlws.FILTER(tSemanal[Q],tSemanal[Produto]=tIngredientes[[#This Row],[Mantimento]],0)</f>
        <v>0</v>
      </c>
      <c r="I8" s="27" cm="1">
        <f t="array" ref="I8">IF(tIngredientes[[#This Row],[Manter stock]]=0,1,IF(_xlfn._xlws.FILTER(tSemanal[Somar a quantidade à lista das receitas],tSemanal[Produto]=tIngredientes[[#This Row],[Mantimento]],"")="X",1,0))</f>
        <v>1</v>
      </c>
      <c r="J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8" s="9" t="s">
        <v>245</v>
      </c>
      <c r="N8" s="9" t="s">
        <v>118</v>
      </c>
      <c r="O8" s="10"/>
      <c r="R8" s="10" t="s">
        <v>87</v>
      </c>
      <c r="U8" s="10" t="s">
        <v>135</v>
      </c>
    </row>
    <row r="9" spans="1:21" x14ac:dyDescent="0.2">
      <c r="A9" s="15" t="str">
        <f>IF(SUM(H9,J9:L9)=0,"",IF(ISNUMBER(SEARCH("E",E9)),tIngredientes[[#This Row],[Manter stock]]+tIngredientes[[#This Row],[Adicionar stock à lista das receitas]]*(J9+IFERROR(_xlfn.CEILING.MATH(K9/F9)+_xlfn.CEILING.MATH(L9/F9),0)),IF(E9="U",tIngredientes[[#This Row],[Manter stock]]+_xlfn.CEILING.MATH(tIngredientes[[#This Row],[Adicionar stock à lista das receitas]]*K9),IF(E9="M",tIngredientes[[#This Row],[Manter stock]]+tIngredientes[[#This Row],[Adicionar stock à lista das receitas]]*L9&amp;G9,"ERRO"))))</f>
        <v/>
      </c>
      <c r="B9" s="9" t="s">
        <v>212</v>
      </c>
      <c r="C9" s="9" t="s">
        <v>101</v>
      </c>
      <c r="D9" s="9" t="s">
        <v>135</v>
      </c>
      <c r="E9" s="24" t="s">
        <v>236</v>
      </c>
      <c r="F9" s="12"/>
      <c r="G9" s="12"/>
      <c r="H9" s="25" cm="1">
        <f t="array" ref="H9">_xlfn._xlws.FILTER(tSemanal[Q],tSemanal[Produto]=tIngredientes[[#This Row],[Mantimento]],0)</f>
        <v>0</v>
      </c>
      <c r="I9" s="27" cm="1">
        <f t="array" ref="I9">IF(tIngredientes[[#This Row],[Manter stock]]=0,1,IF(_xlfn._xlws.FILTER(tSemanal[Somar a quantidade à lista das receitas],tSemanal[Produto]=tIngredientes[[#This Row],[Mantimento]],"")="X",1,0))</f>
        <v>1</v>
      </c>
      <c r="J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9" s="9" t="s">
        <v>250</v>
      </c>
      <c r="N9" s="9" t="s">
        <v>135</v>
      </c>
      <c r="O9" s="10"/>
      <c r="R9" s="10" t="s">
        <v>101</v>
      </c>
      <c r="U9" s="10" t="s">
        <v>116</v>
      </c>
    </row>
    <row r="10" spans="1:21" x14ac:dyDescent="0.2">
      <c r="A10" s="15">
        <f>IF(SUM(H10,J10:L10)=0,"",IF(ISNUMBER(SEARCH("E",E10)),tIngredientes[[#This Row],[Manter stock]]+tIngredientes[[#This Row],[Adicionar stock à lista das receitas]]*(J10+IFERROR(_xlfn.CEILING.MATH(K10/F10)+_xlfn.CEILING.MATH(L10/F10),0)),IF(E10="U",tIngredientes[[#This Row],[Manter stock]]+_xlfn.CEILING.MATH(tIngredientes[[#This Row],[Adicionar stock à lista das receitas]]*K10),IF(E10="M",tIngredientes[[#This Row],[Manter stock]]+tIngredientes[[#This Row],[Adicionar stock à lista das receitas]]*L10&amp;G10,"ERRO"))))</f>
        <v>1</v>
      </c>
      <c r="B10" s="9" t="s">
        <v>70</v>
      </c>
      <c r="C10" s="9" t="s">
        <v>69</v>
      </c>
      <c r="D10" s="9" t="s">
        <v>233</v>
      </c>
      <c r="E10" s="24" t="s">
        <v>234</v>
      </c>
      <c r="F10" s="12">
        <v>1000</v>
      </c>
      <c r="G10" s="12" t="s">
        <v>235</v>
      </c>
      <c r="H10" s="25" cm="1">
        <f t="array" ref="H10">_xlfn._xlws.FILTER(tSemanal[Q],tSemanal[Produto]=tIngredientes[[#This Row],[Mantimento]],0)</f>
        <v>1</v>
      </c>
      <c r="I10" s="27" cm="1">
        <f t="array" ref="I10">IF(tIngredientes[[#This Row],[Manter stock]]=0,1,IF(_xlfn._xlws.FILTER(tSemanal[Somar a quantidade à lista das receitas],tSemanal[Produto]=tIngredientes[[#This Row],[Mantimento]],"")="X",1,0))</f>
        <v>0</v>
      </c>
      <c r="J1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" s="9" t="s">
        <v>251</v>
      </c>
      <c r="N10" s="9" t="s">
        <v>232</v>
      </c>
      <c r="O10" s="10"/>
      <c r="U10" s="10" t="s">
        <v>118</v>
      </c>
    </row>
    <row r="11" spans="1:21" x14ac:dyDescent="0.2">
      <c r="A11" s="15">
        <f>IF(SUM(H11,J11:L11)=0,"",IF(ISNUMBER(SEARCH("E",E11)),tIngredientes[[#This Row],[Manter stock]]+tIngredientes[[#This Row],[Adicionar stock à lista das receitas]]*(J11+IFERROR(_xlfn.CEILING.MATH(K11/F11)+_xlfn.CEILING.MATH(L11/F11),0)),IF(E11="U",tIngredientes[[#This Row],[Manter stock]]+_xlfn.CEILING.MATH(tIngredientes[[#This Row],[Adicionar stock à lista das receitas]]*K11),IF(E11="M",tIngredientes[[#This Row],[Manter stock]]+tIngredientes[[#This Row],[Adicionar stock à lista das receitas]]*L11&amp;G11,"ERRO"))))</f>
        <v>1</v>
      </c>
      <c r="B11" s="9" t="s">
        <v>71</v>
      </c>
      <c r="C11" s="9" t="s">
        <v>69</v>
      </c>
      <c r="D11" s="9" t="s">
        <v>233</v>
      </c>
      <c r="E11" s="24" t="s">
        <v>234</v>
      </c>
      <c r="F11" s="12">
        <v>1000</v>
      </c>
      <c r="G11" s="12" t="s">
        <v>235</v>
      </c>
      <c r="H11" s="25" cm="1">
        <f t="array" ref="H11">_xlfn._xlws.FILTER(tSemanal[Q],tSemanal[Produto]=tIngredientes[[#This Row],[Mantimento]],0)</f>
        <v>1</v>
      </c>
      <c r="I11" s="27" cm="1">
        <f t="array" ref="I11">IF(tIngredientes[[#This Row],[Manter stock]]=0,1,IF(_xlfn._xlws.FILTER(tSemanal[Somar a quantidade à lista das receitas],tSemanal[Produto]=tIngredientes[[#This Row],[Mantimento]],"")="X",1,0))</f>
        <v>0</v>
      </c>
      <c r="J1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" s="9" t="s">
        <v>251</v>
      </c>
      <c r="N11" s="9" t="s">
        <v>232</v>
      </c>
      <c r="O11" s="10"/>
      <c r="U11" s="10" t="s">
        <v>252</v>
      </c>
    </row>
    <row r="12" spans="1:21" x14ac:dyDescent="0.2">
      <c r="A12" s="15" t="str">
        <f>IF(SUM(H12,J12:L12)=0,"",IF(ISNUMBER(SEARCH("E",E12)),tIngredientes[[#This Row],[Manter stock]]+tIngredientes[[#This Row],[Adicionar stock à lista das receitas]]*(J12+IFERROR(_xlfn.CEILING.MATH(K12/F12)+_xlfn.CEILING.MATH(L12/F12),0)),IF(E12="U",tIngredientes[[#This Row],[Manter stock]]+_xlfn.CEILING.MATH(tIngredientes[[#This Row],[Adicionar stock à lista das receitas]]*K12),IF(E12="M",tIngredientes[[#This Row],[Manter stock]]+tIngredientes[[#This Row],[Adicionar stock à lista das receitas]]*L12&amp;G12,"ERRO"))))</f>
        <v/>
      </c>
      <c r="B12" s="9" t="s">
        <v>253</v>
      </c>
      <c r="C12" s="9" t="s">
        <v>69</v>
      </c>
      <c r="D12" s="9" t="s">
        <v>233</v>
      </c>
      <c r="E12" s="24" t="s">
        <v>234</v>
      </c>
      <c r="F12" s="12">
        <v>1000</v>
      </c>
      <c r="G12" s="12" t="s">
        <v>235</v>
      </c>
      <c r="H12" s="25" cm="1">
        <f t="array" ref="H12">_xlfn._xlws.FILTER(tSemanal[Q],tSemanal[Produto]=tIngredientes[[#This Row],[Mantimento]],0)</f>
        <v>0</v>
      </c>
      <c r="I12" s="27" cm="1">
        <f t="array" ref="I12">IF(tIngredientes[[#This Row],[Manter stock]]=0,1,IF(_xlfn._xlws.FILTER(tSemanal[Somar a quantidade à lista das receitas],tSemanal[Produto]=tIngredientes[[#This Row],[Mantimento]],"")="X",1,0))</f>
        <v>1</v>
      </c>
      <c r="J1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2" s="9" t="s">
        <v>251</v>
      </c>
      <c r="N12" s="9" t="s">
        <v>232</v>
      </c>
      <c r="O12" s="10"/>
      <c r="R12" s="10" t="s">
        <v>254</v>
      </c>
      <c r="U12" s="10" t="s">
        <v>125</v>
      </c>
    </row>
    <row r="13" spans="1:21" x14ac:dyDescent="0.2">
      <c r="A13" s="15">
        <f>IF(SUM(H13,J13:L13)=0,"",IF(ISNUMBER(SEARCH("E",E13)),tIngredientes[[#This Row],[Manter stock]]+tIngredientes[[#This Row],[Adicionar stock à lista das receitas]]*(J13+IFERROR(_xlfn.CEILING.MATH(K13/F13)+_xlfn.CEILING.MATH(L13/F13),0)),IF(E13="U",tIngredientes[[#This Row],[Manter stock]]+_xlfn.CEILING.MATH(tIngredientes[[#This Row],[Adicionar stock à lista das receitas]]*K13),IF(E13="M",tIngredientes[[#This Row],[Manter stock]]+tIngredientes[[#This Row],[Adicionar stock à lista das receitas]]*L13&amp;G13,"ERRO"))))</f>
        <v>1</v>
      </c>
      <c r="B13" s="9" t="s">
        <v>58</v>
      </c>
      <c r="C13" s="9" t="s">
        <v>59</v>
      </c>
      <c r="D13" s="9" t="s">
        <v>233</v>
      </c>
      <c r="E13" s="24" t="s">
        <v>234</v>
      </c>
      <c r="F13" s="12">
        <v>750</v>
      </c>
      <c r="G13" s="12" t="s">
        <v>244</v>
      </c>
      <c r="H13" s="25" cm="1">
        <f t="array" ref="H13">_xlfn._xlws.FILTER(tSemanal[Q],tSemanal[Produto]=tIngredientes[[#This Row],[Mantimento]],0)</f>
        <v>0</v>
      </c>
      <c r="I13" s="27" cm="1">
        <f t="array" ref="I13">IF(tIngredientes[[#This Row],[Manter stock]]=0,1,IF(_xlfn._xlws.FILTER(tSemanal[Somar a quantidade à lista das receitas],tSemanal[Produto]=tIngredientes[[#This Row],[Mantimento]],"")="X",1,0))</f>
        <v>1</v>
      </c>
      <c r="J1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30</v>
      </c>
      <c r="M13" s="9" t="s">
        <v>255</v>
      </c>
      <c r="N13" s="9" t="s">
        <v>232</v>
      </c>
      <c r="O13" s="10"/>
      <c r="R13" s="10" t="s">
        <v>254</v>
      </c>
      <c r="U13" s="10" t="s">
        <v>126</v>
      </c>
    </row>
    <row r="14" spans="1:21" x14ac:dyDescent="0.2">
      <c r="A14" s="15">
        <f>IF(SUM(H14,J14:L14)=0,"",IF(ISNUMBER(SEARCH("E",E14)),tIngredientes[[#This Row],[Manter stock]]+tIngredientes[[#This Row],[Adicionar stock à lista das receitas]]*(J14+IFERROR(_xlfn.CEILING.MATH(K14/F14)+_xlfn.CEILING.MATH(L14/F14),0)),IF(E14="U",tIngredientes[[#This Row],[Manter stock]]+_xlfn.CEILING.MATH(tIngredientes[[#This Row],[Adicionar stock à lista das receitas]]*K14),IF(E14="M",tIngredientes[[#This Row],[Manter stock]]+tIngredientes[[#This Row],[Adicionar stock à lista das receitas]]*L14&amp;G14,"ERRO"))))</f>
        <v>1</v>
      </c>
      <c r="B14" s="9" t="s">
        <v>60</v>
      </c>
      <c r="C14" s="9" t="s">
        <v>59</v>
      </c>
      <c r="D14" s="9" t="s">
        <v>233</v>
      </c>
      <c r="E14" s="24" t="s">
        <v>234</v>
      </c>
      <c r="F14" s="12">
        <v>800</v>
      </c>
      <c r="G14" s="12" t="s">
        <v>235</v>
      </c>
      <c r="H14" s="25" cm="1">
        <f t="array" ref="H14">_xlfn._xlws.FILTER(tSemanal[Q],tSemanal[Produto]=tIngredientes[[#This Row],[Mantimento]],0)</f>
        <v>0</v>
      </c>
      <c r="I14" s="27" cm="1">
        <f t="array" ref="I14">IF(tIngredientes[[#This Row],[Manter stock]]=0,1,IF(_xlfn._xlws.FILTER(tSemanal[Somar a quantidade à lista das receitas],tSemanal[Produto]=tIngredientes[[#This Row],[Mantimento]],"")="X",1,0))</f>
        <v>1</v>
      </c>
      <c r="J1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150</v>
      </c>
      <c r="M14" s="9" t="s">
        <v>256</v>
      </c>
      <c r="N14" s="9" t="s">
        <v>118</v>
      </c>
      <c r="O14" s="10"/>
      <c r="R14" s="10" t="s">
        <v>254</v>
      </c>
      <c r="U14" s="10" t="s">
        <v>232</v>
      </c>
    </row>
    <row r="15" spans="1:21" x14ac:dyDescent="0.2">
      <c r="A15" s="15" t="str">
        <f>IF(SUM(H15,J15:L15)=0,"",IF(ISNUMBER(SEARCH("E",E15)),tIngredientes[[#This Row],[Manter stock]]+tIngredientes[[#This Row],[Adicionar stock à lista das receitas]]*(J15+IFERROR(_xlfn.CEILING.MATH(K15/F15)+_xlfn.CEILING.MATH(L15/F15),0)),IF(E15="U",tIngredientes[[#This Row],[Manter stock]]+_xlfn.CEILING.MATH(tIngredientes[[#This Row],[Adicionar stock à lista das receitas]]*K15),IF(E15="M",tIngredientes[[#This Row],[Manter stock]]+tIngredientes[[#This Row],[Adicionar stock à lista das receitas]]*L15&amp;G15,"ERRO"))))</f>
        <v/>
      </c>
      <c r="B15" s="9" t="s">
        <v>257</v>
      </c>
      <c r="C15" s="9" t="s">
        <v>101</v>
      </c>
      <c r="D15" s="9" t="s">
        <v>233</v>
      </c>
      <c r="E15" s="24" t="s">
        <v>234</v>
      </c>
      <c r="F15" s="12">
        <v>400</v>
      </c>
      <c r="G15" s="12" t="s">
        <v>235</v>
      </c>
      <c r="H15" s="25" cm="1">
        <f t="array" ref="H15">_xlfn._xlws.FILTER(tSemanal[Q],tSemanal[Produto]=tIngredientes[[#This Row],[Mantimento]],0)</f>
        <v>0</v>
      </c>
      <c r="I15" s="27" cm="1">
        <f t="array" ref="I15">IF(tIngredientes[[#This Row],[Manter stock]]=0,1,IF(_xlfn._xlws.FILTER(tSemanal[Somar a quantidade à lista das receitas],tSemanal[Produto]=tIngredientes[[#This Row],[Mantimento]],"")="X",1,0))</f>
        <v>1</v>
      </c>
      <c r="J1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5" s="9" t="s">
        <v>258</v>
      </c>
      <c r="N15" s="9" t="s">
        <v>129</v>
      </c>
      <c r="O15" s="10"/>
      <c r="R15" s="10" t="s">
        <v>254</v>
      </c>
      <c r="U15" s="10" t="s">
        <v>132</v>
      </c>
    </row>
    <row r="16" spans="1:21" x14ac:dyDescent="0.2">
      <c r="A16" s="15" t="str">
        <f>IF(SUM(H16,J16:L16)=0,"",IF(ISNUMBER(SEARCH("E",E16)),tIngredientes[[#This Row],[Manter stock]]+tIngredientes[[#This Row],[Adicionar stock à lista das receitas]]*(J16+IFERROR(_xlfn.CEILING.MATH(K16/F16)+_xlfn.CEILING.MATH(L16/F16),0)),IF(E16="U",tIngredientes[[#This Row],[Manter stock]]+_xlfn.CEILING.MATH(tIngredientes[[#This Row],[Adicionar stock à lista das receitas]]*K16),IF(E16="M",tIngredientes[[#This Row],[Manter stock]]+tIngredientes[[#This Row],[Adicionar stock à lista das receitas]]*L16&amp;G16,"ERRO"))))</f>
        <v/>
      </c>
      <c r="B16" s="9" t="s">
        <v>86</v>
      </c>
      <c r="C16" s="9" t="s">
        <v>87</v>
      </c>
      <c r="D16" s="9" t="s">
        <v>233</v>
      </c>
      <c r="E16" s="24" t="s">
        <v>234</v>
      </c>
      <c r="F16" s="12">
        <v>150</v>
      </c>
      <c r="G16" s="12" t="s">
        <v>235</v>
      </c>
      <c r="H16" s="25" cm="1">
        <f t="array" ref="H16">_xlfn._xlws.FILTER(tSemanal[Q],tSemanal[Produto]=tIngredientes[[#This Row],[Mantimento]],0)</f>
        <v>0</v>
      </c>
      <c r="I16" s="27" cm="1">
        <f t="array" ref="I16">IF(tIngredientes[[#This Row],[Manter stock]]=0,1,IF(_xlfn._xlws.FILTER(tSemanal[Somar a quantidade à lista das receitas],tSemanal[Produto]=tIngredientes[[#This Row],[Mantimento]],"")="X",1,0))</f>
        <v>1</v>
      </c>
      <c r="J1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6" s="9" t="s">
        <v>259</v>
      </c>
      <c r="N16" s="9" t="s">
        <v>116</v>
      </c>
      <c r="O16" s="10"/>
      <c r="R16" s="10" t="s">
        <v>254</v>
      </c>
      <c r="U16" s="10" t="s">
        <v>260</v>
      </c>
    </row>
    <row r="17" spans="1:21" x14ac:dyDescent="0.2">
      <c r="A17" s="15">
        <f>IF(SUM(H17,J17:L17)=0,"",IF(ISNUMBER(SEARCH("E",E17)),tIngredientes[[#This Row],[Manter stock]]+tIngredientes[[#This Row],[Adicionar stock à lista das receitas]]*(J17+IFERROR(_xlfn.CEILING.MATH(K17/F17)+_xlfn.CEILING.MATH(L17/F17),0)),IF(E17="U",tIngredientes[[#This Row],[Manter stock]]+_xlfn.CEILING.MATH(tIngredientes[[#This Row],[Adicionar stock à lista das receitas]]*K17),IF(E17="M",tIngredientes[[#This Row],[Manter stock]]+tIngredientes[[#This Row],[Adicionar stock à lista das receitas]]*L17&amp;G17,"ERRO"))))</f>
        <v>5</v>
      </c>
      <c r="B17" s="9" t="s">
        <v>35</v>
      </c>
      <c r="C17" s="9" t="s">
        <v>36</v>
      </c>
      <c r="D17" s="9" t="s">
        <v>233</v>
      </c>
      <c r="E17" s="24" t="s">
        <v>236</v>
      </c>
      <c r="F17" s="12"/>
      <c r="G17" s="12" t="s">
        <v>237</v>
      </c>
      <c r="H17" s="25" cm="1">
        <f t="array" ref="H17">_xlfn._xlws.FILTER(tSemanal[Q],tSemanal[Produto]=tIngredientes[[#This Row],[Mantimento]],0)</f>
        <v>5</v>
      </c>
      <c r="I17" s="27" cm="1">
        <f t="array" ref="I17">IF(tIngredientes[[#This Row],[Manter stock]]=0,1,IF(_xlfn._xlws.FILTER(tSemanal[Somar a quantidade à lista das receitas],tSemanal[Produto]=tIngredientes[[#This Row],[Mantimento]],"")="X",1,0))</f>
        <v>1</v>
      </c>
      <c r="J1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7" s="9" t="s">
        <v>261</v>
      </c>
      <c r="N17" s="9" t="s">
        <v>118</v>
      </c>
      <c r="O17" s="10"/>
      <c r="R17" s="10" t="s">
        <v>254</v>
      </c>
      <c r="U17" s="10" t="s">
        <v>117</v>
      </c>
    </row>
    <row r="18" spans="1:21" x14ac:dyDescent="0.2">
      <c r="A18" s="15" t="str">
        <f>IF(SUM(H18,J18:L18)=0,"",IF(ISNUMBER(SEARCH("E",E18)),tIngredientes[[#This Row],[Manter stock]]+tIngredientes[[#This Row],[Adicionar stock à lista das receitas]]*(J18+IFERROR(_xlfn.CEILING.MATH(K18/F18)+_xlfn.CEILING.MATH(L18/F18),0)),IF(E18="U",tIngredientes[[#This Row],[Manter stock]]+_xlfn.CEILING.MATH(tIngredientes[[#This Row],[Adicionar stock à lista das receitas]]*K18),IF(E18="M",tIngredientes[[#This Row],[Manter stock]]+tIngredientes[[#This Row],[Adicionar stock à lista das receitas]]*L18&amp;G18,"ERRO"))))</f>
        <v/>
      </c>
      <c r="B18" s="9" t="s">
        <v>262</v>
      </c>
      <c r="C18" s="9" t="s">
        <v>50</v>
      </c>
      <c r="D18" s="9" t="s">
        <v>233</v>
      </c>
      <c r="E18" s="24" t="s">
        <v>234</v>
      </c>
      <c r="F18" s="12">
        <v>400</v>
      </c>
      <c r="G18" s="12" t="s">
        <v>235</v>
      </c>
      <c r="H18" s="25" cm="1">
        <f t="array" ref="H18">_xlfn._xlws.FILTER(tSemanal[Q],tSemanal[Produto]=tIngredientes[[#This Row],[Mantimento]],0)</f>
        <v>0</v>
      </c>
      <c r="I18" s="27" cm="1">
        <f t="array" ref="I18">IF(tIngredientes[[#This Row],[Manter stock]]=0,1,IF(_xlfn._xlws.FILTER(tSemanal[Somar a quantidade à lista das receitas],tSemanal[Produto]=tIngredientes[[#This Row],[Mantimento]],"")="X",1,0))</f>
        <v>1</v>
      </c>
      <c r="J1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8" s="9" t="s">
        <v>263</v>
      </c>
      <c r="N18" s="9" t="s">
        <v>126</v>
      </c>
      <c r="O18" s="10"/>
      <c r="R18" s="10" t="s">
        <v>254</v>
      </c>
    </row>
    <row r="19" spans="1:21" x14ac:dyDescent="0.2">
      <c r="A19" s="15" t="str">
        <f>IF(SUM(H19,J19:L19)=0,"",IF(ISNUMBER(SEARCH("E",E19)),tIngredientes[[#This Row],[Manter stock]]+tIngredientes[[#This Row],[Adicionar stock à lista das receitas]]*(J19+IFERROR(_xlfn.CEILING.MATH(K19/F19)+_xlfn.CEILING.MATH(L19/F19),0)),IF(E19="U",tIngredientes[[#This Row],[Manter stock]]+_xlfn.CEILING.MATH(tIngredientes[[#This Row],[Adicionar stock à lista das receitas]]*K19),IF(E19="M",tIngredientes[[#This Row],[Manter stock]]+tIngredientes[[#This Row],[Adicionar stock à lista das receitas]]*L19&amp;G19,"ERRO"))))</f>
        <v/>
      </c>
      <c r="B19" s="9" t="s">
        <v>37</v>
      </c>
      <c r="C19" s="9" t="s">
        <v>36</v>
      </c>
      <c r="D19" s="9" t="s">
        <v>233</v>
      </c>
      <c r="E19" s="24" t="s">
        <v>240</v>
      </c>
      <c r="F19" s="12"/>
      <c r="G19" s="12" t="s">
        <v>235</v>
      </c>
      <c r="H19" s="25" cm="1">
        <f t="array" ref="H19">_xlfn._xlws.FILTER(tSemanal[Q],tSemanal[Produto]=tIngredientes[[#This Row],[Mantimento]],0)</f>
        <v>0</v>
      </c>
      <c r="I19" s="27" cm="1">
        <f t="array" ref="I19">IF(tIngredientes[[#This Row],[Manter stock]]=0,1,IF(_xlfn._xlws.FILTER(tSemanal[Somar a quantidade à lista das receitas],tSemanal[Produto]=tIngredientes[[#This Row],[Mantimento]],"")="X",1,0))</f>
        <v>1</v>
      </c>
      <c r="J1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9" s="9" t="s">
        <v>264</v>
      </c>
      <c r="N19" s="9" t="s">
        <v>118</v>
      </c>
      <c r="O19" s="10"/>
      <c r="R19" s="10" t="s">
        <v>254</v>
      </c>
    </row>
    <row r="20" spans="1:21" x14ac:dyDescent="0.2">
      <c r="A20" s="15" t="str">
        <f>IF(SUM(H20,J20:L20)=0,"",IF(ISNUMBER(SEARCH("E",E20)),tIngredientes[[#This Row],[Manter stock]]+tIngredientes[[#This Row],[Adicionar stock à lista das receitas]]*(J20+IFERROR(_xlfn.CEILING.MATH(K20/F20)+_xlfn.CEILING.MATH(L20/F20),0)),IF(E20="U",tIngredientes[[#This Row],[Manter stock]]+_xlfn.CEILING.MATH(tIngredientes[[#This Row],[Adicionar stock à lista das receitas]]*K20),IF(E20="M",tIngredientes[[#This Row],[Manter stock]]+tIngredientes[[#This Row],[Adicionar stock à lista das receitas]]*L20&amp;G20,"ERRO"))))</f>
        <v/>
      </c>
      <c r="B20" s="9" t="s">
        <v>120</v>
      </c>
      <c r="C20" s="9" t="s">
        <v>87</v>
      </c>
      <c r="D20" s="9" t="s">
        <v>233</v>
      </c>
      <c r="E20" s="24" t="s">
        <v>234</v>
      </c>
      <c r="F20" s="12">
        <v>500</v>
      </c>
      <c r="G20" s="12" t="s">
        <v>235</v>
      </c>
      <c r="H20" s="25" cm="1">
        <f t="array" ref="H20">_xlfn._xlws.FILTER(tSemanal[Q],tSemanal[Produto]=tIngredientes[[#This Row],[Mantimento]],0)</f>
        <v>0</v>
      </c>
      <c r="I20" s="27" cm="1">
        <f t="array" ref="I20">IF(tIngredientes[[#This Row],[Manter stock]]=0,1,IF(_xlfn._xlws.FILTER(tSemanal[Somar a quantidade à lista das receitas],tSemanal[Produto]=tIngredientes[[#This Row],[Mantimento]],"")="X",1,0))</f>
        <v>1</v>
      </c>
      <c r="J2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0" s="9" t="s">
        <v>264</v>
      </c>
      <c r="N20" s="9" t="s">
        <v>118</v>
      </c>
      <c r="O20" s="10"/>
    </row>
    <row r="21" spans="1:21" x14ac:dyDescent="0.2">
      <c r="A21" s="15" t="str">
        <f>IF(SUM(H21,J21:L21)=0,"",IF(ISNUMBER(SEARCH("E",E21)),tIngredientes[[#This Row],[Manter stock]]+tIngredientes[[#This Row],[Adicionar stock à lista das receitas]]*(J21+IFERROR(_xlfn.CEILING.MATH(K21/F21)+_xlfn.CEILING.MATH(L21/F21),0)),IF(E21="U",tIngredientes[[#This Row],[Manter stock]]+_xlfn.CEILING.MATH(tIngredientes[[#This Row],[Adicionar stock à lista das receitas]]*K21),IF(E21="M",tIngredientes[[#This Row],[Manter stock]]+tIngredientes[[#This Row],[Adicionar stock à lista das receitas]]*L21&amp;G21,"ERRO"))))</f>
        <v/>
      </c>
      <c r="B21" s="9" t="s">
        <v>265</v>
      </c>
      <c r="C21" s="9" t="s">
        <v>101</v>
      </c>
      <c r="D21" s="9" t="s">
        <v>135</v>
      </c>
      <c r="E21" s="24" t="s">
        <v>240</v>
      </c>
      <c r="F21" s="12"/>
      <c r="G21" s="12" t="s">
        <v>235</v>
      </c>
      <c r="H21" s="25" cm="1">
        <f t="array" ref="H21">_xlfn._xlws.FILTER(tSemanal[Q],tSemanal[Produto]=tIngredientes[[#This Row],[Mantimento]],0)</f>
        <v>0</v>
      </c>
      <c r="I21" s="27" cm="1">
        <f t="array" ref="I21">IF(tIngredientes[[#This Row],[Manter stock]]=0,1,IF(_xlfn._xlws.FILTER(tSemanal[Somar a quantidade à lista das receitas],tSemanal[Produto]=tIngredientes[[#This Row],[Mantimento]],"")="X",1,0))</f>
        <v>1</v>
      </c>
      <c r="J2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1" s="9" t="s">
        <v>266</v>
      </c>
      <c r="N21" s="9" t="s">
        <v>135</v>
      </c>
      <c r="O21" s="10"/>
    </row>
    <row r="22" spans="1:21" x14ac:dyDescent="0.2">
      <c r="A22" s="15" t="str">
        <f>IF(SUM(H22,J22:L22)=0,"",IF(ISNUMBER(SEARCH("E",E22)),tIngredientes[[#This Row],[Manter stock]]+tIngredientes[[#This Row],[Adicionar stock à lista das receitas]]*(J22+IFERROR(_xlfn.CEILING.MATH(K22/F22)+_xlfn.CEILING.MATH(L22/F22),0)),IF(E22="U",tIngredientes[[#This Row],[Manter stock]]+_xlfn.CEILING.MATH(tIngredientes[[#This Row],[Adicionar stock à lista das receitas]]*K22),IF(E22="M",tIngredientes[[#This Row],[Manter stock]]+tIngredientes[[#This Row],[Adicionar stock à lista das receitas]]*L22&amp;G22,"ERRO"))))</f>
        <v>800g</v>
      </c>
      <c r="B22" s="9" t="s">
        <v>267</v>
      </c>
      <c r="C22" s="9" t="s">
        <v>101</v>
      </c>
      <c r="D22" s="9" t="s">
        <v>135</v>
      </c>
      <c r="E22" s="24" t="s">
        <v>240</v>
      </c>
      <c r="F22" s="12"/>
      <c r="G22" s="12" t="s">
        <v>235</v>
      </c>
      <c r="H22" s="25" cm="1">
        <f t="array" ref="H22">_xlfn._xlws.FILTER(tSemanal[Q],tSemanal[Produto]=tIngredientes[[#This Row],[Mantimento]],0)</f>
        <v>0</v>
      </c>
      <c r="I22" s="27" cm="1">
        <f t="array" ref="I22">IF(tIngredientes[[#This Row],[Manter stock]]=0,1,IF(_xlfn._xlws.FILTER(tSemanal[Somar a quantidade à lista das receitas],tSemanal[Produto]=tIngredientes[[#This Row],[Mantimento]],"")="X",1,0))</f>
        <v>1</v>
      </c>
      <c r="J2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800</v>
      </c>
      <c r="M22" s="9" t="s">
        <v>268</v>
      </c>
      <c r="N22" s="9" t="s">
        <v>135</v>
      </c>
      <c r="O22" s="10"/>
    </row>
    <row r="23" spans="1:21" x14ac:dyDescent="0.2">
      <c r="A23" s="15" t="str">
        <f>IF(SUM(H23,J23:L23)=0,"",IF(ISNUMBER(SEARCH("E",E23)),tIngredientes[[#This Row],[Manter stock]]+tIngredientes[[#This Row],[Adicionar stock à lista das receitas]]*(J23+IFERROR(_xlfn.CEILING.MATH(K23/F23)+_xlfn.CEILING.MATH(L23/F23),0)),IF(E23="U",tIngredientes[[#This Row],[Manter stock]]+_xlfn.CEILING.MATH(tIngredientes[[#This Row],[Adicionar stock à lista das receitas]]*K23),IF(E23="M",tIngredientes[[#This Row],[Manter stock]]+tIngredientes[[#This Row],[Adicionar stock à lista das receitas]]*L23&amp;G23,"ERRO"))))</f>
        <v/>
      </c>
      <c r="B23" s="9" t="s">
        <v>269</v>
      </c>
      <c r="C23" s="9" t="s">
        <v>101</v>
      </c>
      <c r="D23" s="9" t="s">
        <v>135</v>
      </c>
      <c r="E23" s="24" t="s">
        <v>240</v>
      </c>
      <c r="F23" s="12"/>
      <c r="G23" s="12" t="s">
        <v>235</v>
      </c>
      <c r="H23" s="25" cm="1">
        <f t="array" ref="H23">_xlfn._xlws.FILTER(tSemanal[Q],tSemanal[Produto]=tIngredientes[[#This Row],[Mantimento]],0)</f>
        <v>0</v>
      </c>
      <c r="I23" s="27" cm="1">
        <f t="array" ref="I23">IF(tIngredientes[[#This Row],[Manter stock]]=0,1,IF(_xlfn._xlws.FILTER(tSemanal[Somar a quantidade à lista das receitas],tSemanal[Produto]=tIngredientes[[#This Row],[Mantimento]],"")="X",1,0))</f>
        <v>1</v>
      </c>
      <c r="J2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3" s="9" t="s">
        <v>268</v>
      </c>
      <c r="N23" s="9" t="s">
        <v>135</v>
      </c>
      <c r="O23" s="10"/>
    </row>
    <row r="24" spans="1:21" x14ac:dyDescent="0.2">
      <c r="A24" s="15">
        <f>IF(SUM(H24,J24:L24)=0,"",IF(ISNUMBER(SEARCH("E",E24)),tIngredientes[[#This Row],[Manter stock]]+tIngredientes[[#This Row],[Adicionar stock à lista das receitas]]*(J24+IFERROR(_xlfn.CEILING.MATH(K24/F24)+_xlfn.CEILING.MATH(L24/F24),0)),IF(E24="U",tIngredientes[[#This Row],[Manter stock]]+_xlfn.CEILING.MATH(tIngredientes[[#This Row],[Adicionar stock à lista das receitas]]*K24),IF(E24="M",tIngredientes[[#This Row],[Manter stock]]+tIngredientes[[#This Row],[Adicionar stock à lista das receitas]]*L24&amp;G24,"ERRO"))))</f>
        <v>1</v>
      </c>
      <c r="B24" s="9" t="s">
        <v>43</v>
      </c>
      <c r="C24" s="9" t="s">
        <v>44</v>
      </c>
      <c r="D24" s="9" t="s">
        <v>233</v>
      </c>
      <c r="E24" s="24" t="s">
        <v>243</v>
      </c>
      <c r="F24" s="12"/>
      <c r="G24" s="12"/>
      <c r="H24" s="25" cm="1">
        <f t="array" ref="H24">_xlfn._xlws.FILTER(tSemanal[Q],tSemanal[Produto]=tIngredientes[[#This Row],[Mantimento]],0)</f>
        <v>1</v>
      </c>
      <c r="I24" s="27" cm="1">
        <f t="array" ref="I24">IF(tIngredientes[[#This Row],[Manter stock]]=0,1,IF(_xlfn._xlws.FILTER(tSemanal[Somar a quantidade à lista das receitas],tSemanal[Produto]=tIngredientes[[#This Row],[Mantimento]],"")="X",1,0))</f>
        <v>1</v>
      </c>
      <c r="J2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4" s="9" t="s">
        <v>270</v>
      </c>
      <c r="N24" s="9" t="s">
        <v>125</v>
      </c>
      <c r="O24" s="10"/>
    </row>
    <row r="25" spans="1:21" x14ac:dyDescent="0.2">
      <c r="A25" s="15" t="str">
        <f>IF(SUM(H25,J25:L25)=0,"",IF(ISNUMBER(SEARCH("E",E25)),tIngredientes[[#This Row],[Manter stock]]+tIngredientes[[#This Row],[Adicionar stock à lista das receitas]]*(J25+IFERROR(_xlfn.CEILING.MATH(K25/F25)+_xlfn.CEILING.MATH(L25/F25),0)),IF(E25="U",tIngredientes[[#This Row],[Manter stock]]+_xlfn.CEILING.MATH(tIngredientes[[#This Row],[Adicionar stock à lista das receitas]]*K25),IF(E25="M",tIngredientes[[#This Row],[Manter stock]]+tIngredientes[[#This Row],[Adicionar stock à lista das receitas]]*L25&amp;G25,"ERRO"))))</f>
        <v/>
      </c>
      <c r="B25" s="9" t="s">
        <v>271</v>
      </c>
      <c r="C25" s="9" t="s">
        <v>59</v>
      </c>
      <c r="D25" s="9" t="s">
        <v>233</v>
      </c>
      <c r="E25" s="24" t="s">
        <v>243</v>
      </c>
      <c r="F25" s="12">
        <v>12</v>
      </c>
      <c r="G25" s="12" t="s">
        <v>237</v>
      </c>
      <c r="H25" s="25" cm="1">
        <f t="array" ref="H25">_xlfn._xlws.FILTER(tSemanal[Q],tSemanal[Produto]=tIngredientes[[#This Row],[Mantimento]],0)</f>
        <v>0</v>
      </c>
      <c r="I25" s="27" cm="1">
        <f t="array" ref="I25">IF(tIngredientes[[#This Row],[Manter stock]]=0,1,IF(_xlfn._xlws.FILTER(tSemanal[Somar a quantidade à lista das receitas],tSemanal[Produto]=tIngredientes[[#This Row],[Mantimento]],"")="X",1,0))</f>
        <v>1</v>
      </c>
      <c r="J2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5" s="9" t="s">
        <v>272</v>
      </c>
      <c r="N25" s="9" t="s">
        <v>126</v>
      </c>
      <c r="O25" s="10"/>
    </row>
    <row r="26" spans="1:21" x14ac:dyDescent="0.2">
      <c r="A26" s="15">
        <f>IF(SUM(H26,J26:L26)=0,"",IF(ISNUMBER(SEARCH("E",E26)),tIngredientes[[#This Row],[Manter stock]]+tIngredientes[[#This Row],[Adicionar stock à lista das receitas]]*(J26+IFERROR(_xlfn.CEILING.MATH(K26/F26)+_xlfn.CEILING.MATH(L26/F26),0)),IF(E26="U",tIngredientes[[#This Row],[Manter stock]]+_xlfn.CEILING.MATH(tIngredientes[[#This Row],[Adicionar stock à lista das receitas]]*K26),IF(E26="M",tIngredientes[[#This Row],[Manter stock]]+tIngredientes[[#This Row],[Adicionar stock à lista das receitas]]*L26&amp;G26,"ERRO"))))</f>
        <v>1</v>
      </c>
      <c r="B26" s="9" t="s">
        <v>61</v>
      </c>
      <c r="C26" s="9" t="s">
        <v>59</v>
      </c>
      <c r="D26" s="9" t="s">
        <v>233</v>
      </c>
      <c r="E26" s="24" t="s">
        <v>243</v>
      </c>
      <c r="F26" s="12">
        <v>24</v>
      </c>
      <c r="G26" s="12" t="s">
        <v>237</v>
      </c>
      <c r="H26" s="25" cm="1">
        <f t="array" ref="H26">_xlfn._xlws.FILTER(tSemanal[Q],tSemanal[Produto]=tIngredientes[[#This Row],[Mantimento]],0)</f>
        <v>0</v>
      </c>
      <c r="I26" s="27" cm="1">
        <f t="array" ref="I26">IF(tIngredientes[[#This Row],[Manter stock]]=0,1,IF(_xlfn._xlws.FILTER(tSemanal[Somar a quantidade à lista das receitas],tSemanal[Produto]=tIngredientes[[#This Row],[Mantimento]],"")="X",1,0))</f>
        <v>1</v>
      </c>
      <c r="J2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6" s="42">
        <f>SUMIFS(tPorReceita[Quantidade],tPorReceita[Mantimento],"="&amp;tIngredientes[[#This Row],[Mantimento]],tPorReceita[Data],"&gt;="&amp;iPeriodoDeRefeições,tPorReceita[Data],"&lt;="&amp;fPeriodoDeRefeições,tPorReceita[Medida],"=un")</f>
        <v>1</v>
      </c>
      <c r="L2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6" s="9" t="s">
        <v>272</v>
      </c>
      <c r="N26" s="9" t="s">
        <v>126</v>
      </c>
      <c r="O26" s="10"/>
    </row>
    <row r="27" spans="1:21" x14ac:dyDescent="0.2">
      <c r="A27" s="15" t="str">
        <f>IF(SUM(H27,J27:L27)=0,"",IF(ISNUMBER(SEARCH("E",E27)),tIngredientes[[#This Row],[Manter stock]]+tIngredientes[[#This Row],[Adicionar stock à lista das receitas]]*(J27+IFERROR(_xlfn.CEILING.MATH(K27/F27)+_xlfn.CEILING.MATH(L27/F27),0)),IF(E27="U",tIngredientes[[#This Row],[Manter stock]]+_xlfn.CEILING.MATH(tIngredientes[[#This Row],[Adicionar stock à lista das receitas]]*K27),IF(E27="M",tIngredientes[[#This Row],[Manter stock]]+tIngredientes[[#This Row],[Adicionar stock à lista das receitas]]*L27&amp;G27,"ERRO"))))</f>
        <v/>
      </c>
      <c r="B27" s="9" t="s">
        <v>273</v>
      </c>
      <c r="C27" s="9" t="s">
        <v>59</v>
      </c>
      <c r="D27" s="9" t="s">
        <v>233</v>
      </c>
      <c r="E27" s="24" t="s">
        <v>243</v>
      </c>
      <c r="F27" s="12">
        <v>24</v>
      </c>
      <c r="G27" s="12" t="s">
        <v>237</v>
      </c>
      <c r="H27" s="25" cm="1">
        <f t="array" ref="H27">_xlfn._xlws.FILTER(tSemanal[Q],tSemanal[Produto]=tIngredientes[[#This Row],[Mantimento]],0)</f>
        <v>0</v>
      </c>
      <c r="I27" s="27" cm="1">
        <f t="array" ref="I27">IF(tIngredientes[[#This Row],[Manter stock]]=0,1,IF(_xlfn._xlws.FILTER(tSemanal[Somar a quantidade à lista das receitas],tSemanal[Produto]=tIngredientes[[#This Row],[Mantimento]],"")="X",1,0))</f>
        <v>1</v>
      </c>
      <c r="J2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7" s="9" t="s">
        <v>272</v>
      </c>
      <c r="N27" s="9" t="s">
        <v>126</v>
      </c>
      <c r="O27" s="10"/>
    </row>
    <row r="28" spans="1:21" x14ac:dyDescent="0.2">
      <c r="A28" s="15" t="str">
        <f>IF(SUM(H28,J28:L28)=0,"",IF(ISNUMBER(SEARCH("E",E28)),tIngredientes[[#This Row],[Manter stock]]+tIngredientes[[#This Row],[Adicionar stock à lista das receitas]]*(J28+IFERROR(_xlfn.CEILING.MATH(K28/F28)+_xlfn.CEILING.MATH(L28/F28),0)),IF(E28="U",tIngredientes[[#This Row],[Manter stock]]+_xlfn.CEILING.MATH(tIngredientes[[#This Row],[Adicionar stock à lista das receitas]]*K28),IF(E28="M",tIngredientes[[#This Row],[Manter stock]]+tIngredientes[[#This Row],[Adicionar stock à lista das receitas]]*L28&amp;G28,"ERRO"))))</f>
        <v/>
      </c>
      <c r="B28" s="9" t="s">
        <v>274</v>
      </c>
      <c r="C28" s="9" t="s">
        <v>101</v>
      </c>
      <c r="D28" s="9" t="s">
        <v>135</v>
      </c>
      <c r="E28" s="24" t="s">
        <v>240</v>
      </c>
      <c r="F28" s="12"/>
      <c r="G28" s="12" t="s">
        <v>235</v>
      </c>
      <c r="H28" s="25" cm="1">
        <f t="array" ref="H28">_xlfn._xlws.FILTER(tSemanal[Q],tSemanal[Produto]=tIngredientes[[#This Row],[Mantimento]],0)</f>
        <v>0</v>
      </c>
      <c r="I28" s="27" cm="1">
        <f t="array" ref="I28">IF(tIngredientes[[#This Row],[Manter stock]]=0,1,IF(_xlfn._xlws.FILTER(tSemanal[Somar a quantidade à lista das receitas],tSemanal[Produto]=tIngredientes[[#This Row],[Mantimento]],"")="X",1,0))</f>
        <v>1</v>
      </c>
      <c r="J2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8" s="9" t="s">
        <v>275</v>
      </c>
      <c r="N28" s="9" t="s">
        <v>135</v>
      </c>
      <c r="O28" s="10"/>
    </row>
    <row r="29" spans="1:21" x14ac:dyDescent="0.2">
      <c r="A29" s="15" t="str">
        <f>IF(SUM(H29,J29:L29)=0,"",IF(ISNUMBER(SEARCH("E",E29)),tIngredientes[[#This Row],[Manter stock]]+tIngredientes[[#This Row],[Adicionar stock à lista das receitas]]*(J29+IFERROR(_xlfn.CEILING.MATH(K29/F29)+_xlfn.CEILING.MATH(L29/F29),0)),IF(E29="U",tIngredientes[[#This Row],[Manter stock]]+_xlfn.CEILING.MATH(tIngredientes[[#This Row],[Adicionar stock à lista das receitas]]*K29),IF(E29="M",tIngredientes[[#This Row],[Manter stock]]+tIngredientes[[#This Row],[Adicionar stock à lista das receitas]]*L29&amp;G29,"ERRO"))))</f>
        <v/>
      </c>
      <c r="B29" s="9" t="s">
        <v>102</v>
      </c>
      <c r="C29" s="9" t="s">
        <v>101</v>
      </c>
      <c r="D29" s="9" t="s">
        <v>135</v>
      </c>
      <c r="E29" s="24" t="s">
        <v>240</v>
      </c>
      <c r="F29" s="12"/>
      <c r="G29" s="12" t="s">
        <v>235</v>
      </c>
      <c r="H29" s="25" cm="1">
        <f t="array" ref="H29">_xlfn._xlws.FILTER(tSemanal[Q],tSemanal[Produto]=tIngredientes[[#This Row],[Mantimento]],0)</f>
        <v>0</v>
      </c>
      <c r="I29" s="27" cm="1">
        <f t="array" ref="I29">IF(tIngredientes[[#This Row],[Manter stock]]=0,1,IF(_xlfn._xlws.FILTER(tSemanal[Somar a quantidade à lista das receitas],tSemanal[Produto]=tIngredientes[[#This Row],[Mantimento]],"")="X",1,0))</f>
        <v>1</v>
      </c>
      <c r="J2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2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2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29" s="9" t="s">
        <v>250</v>
      </c>
      <c r="N29" s="9" t="s">
        <v>135</v>
      </c>
      <c r="O29" s="10"/>
    </row>
    <row r="30" spans="1:21" x14ac:dyDescent="0.2">
      <c r="A30" s="15">
        <f>IF(SUM(H30,J30:L30)=0,"",IF(ISNUMBER(SEARCH("E",E30)),tIngredientes[[#This Row],[Manter stock]]+tIngredientes[[#This Row],[Adicionar stock à lista das receitas]]*(J30+IFERROR(_xlfn.CEILING.MATH(K30/F30)+_xlfn.CEILING.MATH(L30/F30),0)),IF(E30="U",tIngredientes[[#This Row],[Manter stock]]+_xlfn.CEILING.MATH(tIngredientes[[#This Row],[Adicionar stock à lista das receitas]]*K30),IF(E30="M",tIngredientes[[#This Row],[Manter stock]]+tIngredientes[[#This Row],[Adicionar stock à lista das receitas]]*L30&amp;G30,"ERRO"))))</f>
        <v>2</v>
      </c>
      <c r="B30" s="9" t="s">
        <v>103</v>
      </c>
      <c r="C30" s="9" t="s">
        <v>101</v>
      </c>
      <c r="D30" s="9" t="s">
        <v>233</v>
      </c>
      <c r="E30" s="24" t="s">
        <v>234</v>
      </c>
      <c r="F30" s="12">
        <v>400</v>
      </c>
      <c r="G30" s="12" t="s">
        <v>235</v>
      </c>
      <c r="H30" s="25" cm="1">
        <f t="array" ref="H30">_xlfn._xlws.FILTER(tSemanal[Q],tSemanal[Produto]=tIngredientes[[#This Row],[Mantimento]],0)</f>
        <v>2</v>
      </c>
      <c r="I30" s="27" cm="1">
        <f t="array" ref="I30">IF(tIngredientes[[#This Row],[Manter stock]]=0,1,IF(_xlfn._xlws.FILTER(tSemanal[Somar a quantidade à lista das receitas],tSemanal[Produto]=tIngredientes[[#This Row],[Mantimento]],"")="X",1,0))</f>
        <v>0</v>
      </c>
      <c r="J3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100</v>
      </c>
      <c r="M30" s="9" t="s">
        <v>246</v>
      </c>
      <c r="N30" s="9" t="s">
        <v>117</v>
      </c>
      <c r="O30" s="10"/>
    </row>
    <row r="31" spans="1:21" x14ac:dyDescent="0.2">
      <c r="A31" s="15">
        <f>IF(SUM(H31,J31:L31)=0,"",IF(ISNUMBER(SEARCH("E",E31)),tIngredientes[[#This Row],[Manter stock]]+tIngredientes[[#This Row],[Adicionar stock à lista das receitas]]*(J31+IFERROR(_xlfn.CEILING.MATH(K31/F31)+_xlfn.CEILING.MATH(L31/F31),0)),IF(E31="U",tIngredientes[[#This Row],[Manter stock]]+_xlfn.CEILING.MATH(tIngredientes[[#This Row],[Adicionar stock à lista das receitas]]*K31),IF(E31="M",tIngredientes[[#This Row],[Manter stock]]+tIngredientes[[#This Row],[Adicionar stock à lista das receitas]]*L31&amp;G31,"ERRO"))))</f>
        <v>6</v>
      </c>
      <c r="B31" s="9" t="s">
        <v>72</v>
      </c>
      <c r="C31" s="9" t="s">
        <v>69</v>
      </c>
      <c r="D31" s="9" t="s">
        <v>233</v>
      </c>
      <c r="E31" s="24" t="s">
        <v>236</v>
      </c>
      <c r="F31" s="12"/>
      <c r="G31" s="12" t="s">
        <v>237</v>
      </c>
      <c r="H31" s="25" cm="1">
        <f t="array" ref="H31">_xlfn._xlws.FILTER(tSemanal[Q],tSemanal[Produto]=tIngredientes[[#This Row],[Mantimento]],0)</f>
        <v>6</v>
      </c>
      <c r="I31" s="27" cm="1">
        <f t="array" ref="I31">IF(tIngredientes[[#This Row],[Manter stock]]=0,1,IF(_xlfn._xlws.FILTER(tSemanal[Somar a quantidade à lista das receitas],tSemanal[Produto]=tIngredientes[[#This Row],[Mantimento]],"")="X",1,0))</f>
        <v>0</v>
      </c>
      <c r="J3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1" s="9" t="s">
        <v>245</v>
      </c>
      <c r="N31" s="9" t="s">
        <v>118</v>
      </c>
      <c r="O31" s="10"/>
    </row>
    <row r="32" spans="1:21" x14ac:dyDescent="0.2">
      <c r="A32" s="15" t="str">
        <f>IF(SUM(H32,J32:L32)=0,"",IF(ISNUMBER(SEARCH("E",E32)),tIngredientes[[#This Row],[Manter stock]]+tIngredientes[[#This Row],[Adicionar stock à lista das receitas]]*(J32+IFERROR(_xlfn.CEILING.MATH(K32/F32)+_xlfn.CEILING.MATH(L32/F32),0)),IF(E32="U",tIngredientes[[#This Row],[Manter stock]]+_xlfn.CEILING.MATH(tIngredientes[[#This Row],[Adicionar stock à lista das receitas]]*K32),IF(E32="M",tIngredientes[[#This Row],[Manter stock]]+tIngredientes[[#This Row],[Adicionar stock à lista das receitas]]*L32&amp;G32,"ERRO"))))</f>
        <v/>
      </c>
      <c r="B32" s="9" t="s">
        <v>276</v>
      </c>
      <c r="C32" s="9" t="s">
        <v>101</v>
      </c>
      <c r="D32" s="9" t="s">
        <v>233</v>
      </c>
      <c r="E32" s="24" t="s">
        <v>234</v>
      </c>
      <c r="F32" s="12">
        <v>1000</v>
      </c>
      <c r="G32" s="12" t="s">
        <v>235</v>
      </c>
      <c r="H32" s="25" cm="1">
        <f t="array" ref="H32">_xlfn._xlws.FILTER(tSemanal[Q],tSemanal[Produto]=tIngredientes[[#This Row],[Mantimento]],0)</f>
        <v>0</v>
      </c>
      <c r="I32" s="27" cm="1">
        <f t="array" ref="I32">IF(tIngredientes[[#This Row],[Manter stock]]=0,1,IF(_xlfn._xlws.FILTER(tSemanal[Somar a quantidade à lista das receitas],tSemanal[Produto]=tIngredientes[[#This Row],[Mantimento]],"")="X",1,0))</f>
        <v>1</v>
      </c>
      <c r="J3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2" s="9"/>
      <c r="N32" s="9" t="s">
        <v>117</v>
      </c>
      <c r="O32" s="10"/>
    </row>
    <row r="33" spans="1:15" x14ac:dyDescent="0.2">
      <c r="A33" s="15" t="str">
        <f>IF(SUM(H33,J33:L33)=0,"",IF(ISNUMBER(SEARCH("E",E33)),tIngredientes[[#This Row],[Manter stock]]+tIngredientes[[#This Row],[Adicionar stock à lista das receitas]]*(J33+IFERROR(_xlfn.CEILING.MATH(K33/F33)+_xlfn.CEILING.MATH(L33/F33),0)),IF(E33="U",tIngredientes[[#This Row],[Manter stock]]+_xlfn.CEILING.MATH(tIngredientes[[#This Row],[Adicionar stock à lista das receitas]]*K33),IF(E33="M",tIngredientes[[#This Row],[Manter stock]]+tIngredientes[[#This Row],[Adicionar stock à lista das receitas]]*L33&amp;G33,"ERRO"))))</f>
        <v/>
      </c>
      <c r="B33" s="9" t="s">
        <v>277</v>
      </c>
      <c r="C33" s="9" t="s">
        <v>59</v>
      </c>
      <c r="D33" s="9" t="s">
        <v>233</v>
      </c>
      <c r="E33" s="24" t="s">
        <v>234</v>
      </c>
      <c r="F33" s="12">
        <v>50</v>
      </c>
      <c r="G33" s="12" t="s">
        <v>235</v>
      </c>
      <c r="H33" s="25" cm="1">
        <f t="array" ref="H33">_xlfn._xlws.FILTER(tSemanal[Q],tSemanal[Produto]=tIngredientes[[#This Row],[Mantimento]],0)</f>
        <v>0</v>
      </c>
      <c r="I33" s="27" cm="1">
        <f t="array" ref="I33">IF(tIngredientes[[#This Row],[Manter stock]]=0,1,IF(_xlfn._xlws.FILTER(tSemanal[Somar a quantidade à lista das receitas],tSemanal[Produto]=tIngredientes[[#This Row],[Mantimento]],"")="X",1,0))</f>
        <v>1</v>
      </c>
      <c r="J3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3" s="9" t="s">
        <v>239</v>
      </c>
      <c r="N33" s="9" t="s">
        <v>126</v>
      </c>
      <c r="O33" s="10"/>
    </row>
    <row r="34" spans="1:15" x14ac:dyDescent="0.2">
      <c r="A34" s="15" t="str">
        <f>IF(SUM(H34,J34:L34)=0,"",IF(ISNUMBER(SEARCH("E",E34)),tIngredientes[[#This Row],[Manter stock]]+tIngredientes[[#This Row],[Adicionar stock à lista das receitas]]*(J34+IFERROR(_xlfn.CEILING.MATH(K34/F34)+_xlfn.CEILING.MATH(L34/F34),0)),IF(E34="U",tIngredientes[[#This Row],[Manter stock]]+_xlfn.CEILING.MATH(tIngredientes[[#This Row],[Adicionar stock à lista das receitas]]*K34),IF(E34="M",tIngredientes[[#This Row],[Manter stock]]+tIngredientes[[#This Row],[Adicionar stock à lista das receitas]]*L34&amp;G34,"ERRO"))))</f>
        <v/>
      </c>
      <c r="B34" s="9" t="s">
        <v>278</v>
      </c>
      <c r="C34" s="9" t="s">
        <v>87</v>
      </c>
      <c r="D34" s="9" t="s">
        <v>233</v>
      </c>
      <c r="E34" s="24" t="s">
        <v>236</v>
      </c>
      <c r="F34" s="12"/>
      <c r="G34" s="12" t="s">
        <v>237</v>
      </c>
      <c r="H34" s="25" cm="1">
        <f t="array" ref="H34">_xlfn._xlws.FILTER(tSemanal[Q],tSemanal[Produto]=tIngredientes[[#This Row],[Mantimento]],0)</f>
        <v>0</v>
      </c>
      <c r="I34" s="27" cm="1">
        <f t="array" ref="I34">IF(tIngredientes[[#This Row],[Manter stock]]=0,1,IF(_xlfn._xlws.FILTER(tSemanal[Somar a quantidade à lista das receitas],tSemanal[Produto]=tIngredientes[[#This Row],[Mantimento]],"")="X",1,0))</f>
        <v>1</v>
      </c>
      <c r="J3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4" s="9" t="s">
        <v>279</v>
      </c>
      <c r="N34" s="9" t="s">
        <v>118</v>
      </c>
      <c r="O34" s="10"/>
    </row>
    <row r="35" spans="1:15" x14ac:dyDescent="0.2">
      <c r="A35" s="15">
        <f>IF(SUM(H35,J35:L35)=0,"",IF(ISNUMBER(SEARCH("E",E35)),tIngredientes[[#This Row],[Manter stock]]+tIngredientes[[#This Row],[Adicionar stock à lista das receitas]]*(J35+IFERROR(_xlfn.CEILING.MATH(K35/F35)+_xlfn.CEILING.MATH(L35/F35),0)),IF(E35="U",tIngredientes[[#This Row],[Manter stock]]+_xlfn.CEILING.MATH(tIngredientes[[#This Row],[Adicionar stock à lista das receitas]]*K35),IF(E35="M",tIngredientes[[#This Row],[Manter stock]]+tIngredientes[[#This Row],[Adicionar stock à lista das receitas]]*L35&amp;G35,"ERRO"))))</f>
        <v>1</v>
      </c>
      <c r="B35" s="9" t="s">
        <v>51</v>
      </c>
      <c r="C35" s="9" t="s">
        <v>50</v>
      </c>
      <c r="D35" s="9" t="s">
        <v>233</v>
      </c>
      <c r="E35" s="24" t="s">
        <v>234</v>
      </c>
      <c r="F35" s="12">
        <v>1000</v>
      </c>
      <c r="G35" s="12" t="s">
        <v>235</v>
      </c>
      <c r="H35" s="25" cm="1">
        <f t="array" ref="H35">_xlfn._xlws.FILTER(tSemanal[Q],tSemanal[Produto]=tIngredientes[[#This Row],[Mantimento]],0)</f>
        <v>1</v>
      </c>
      <c r="I35" s="27" cm="1">
        <f t="array" ref="I35">IF(tIngredientes[[#This Row],[Manter stock]]=0,1,IF(_xlfn._xlws.FILTER(tSemanal[Somar a quantidade à lista das receitas],tSemanal[Produto]=tIngredientes[[#This Row],[Mantimento]],"")="X",1,0))</f>
        <v>1</v>
      </c>
      <c r="J3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5" s="9" t="s">
        <v>280</v>
      </c>
      <c r="N35" s="9" t="s">
        <v>247</v>
      </c>
      <c r="O35" s="10"/>
    </row>
    <row r="36" spans="1:15" x14ac:dyDescent="0.2">
      <c r="A36" s="15" t="str">
        <f>IF(SUM(H36,J36:L36)=0,"",IF(ISNUMBER(SEARCH("E",E36)),tIngredientes[[#This Row],[Manter stock]]+tIngredientes[[#This Row],[Adicionar stock à lista das receitas]]*(J36+IFERROR(_xlfn.CEILING.MATH(K36/F36)+_xlfn.CEILING.MATH(L36/F36),0)),IF(E36="U",tIngredientes[[#This Row],[Manter stock]]+_xlfn.CEILING.MATH(tIngredientes[[#This Row],[Adicionar stock à lista das receitas]]*K36),IF(E36="M",tIngredientes[[#This Row],[Manter stock]]+tIngredientes[[#This Row],[Adicionar stock à lista das receitas]]*L36&amp;G36,"ERRO"))))</f>
        <v/>
      </c>
      <c r="B36" s="9" t="s">
        <v>281</v>
      </c>
      <c r="C36" s="9" t="s">
        <v>59</v>
      </c>
      <c r="D36" s="9" t="s">
        <v>233</v>
      </c>
      <c r="E36" s="24" t="s">
        <v>234</v>
      </c>
      <c r="F36" s="12">
        <v>20</v>
      </c>
      <c r="G36" s="12" t="s">
        <v>244</v>
      </c>
      <c r="H36" s="25" cm="1">
        <f t="array" ref="H36">_xlfn._xlws.FILTER(tSemanal[Q],tSemanal[Produto]=tIngredientes[[#This Row],[Mantimento]],0)</f>
        <v>0</v>
      </c>
      <c r="I36" s="27" cm="1">
        <f t="array" ref="I36">IF(tIngredientes[[#This Row],[Manter stock]]=0,1,IF(_xlfn._xlws.FILTER(tSemanal[Somar a quantidade à lista das receitas],tSemanal[Produto]=tIngredientes[[#This Row],[Mantimento]],"")="X",1,0))</f>
        <v>1</v>
      </c>
      <c r="J3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6" s="9" t="s">
        <v>282</v>
      </c>
      <c r="N36" s="9" t="s">
        <v>132</v>
      </c>
      <c r="O36" s="10"/>
    </row>
    <row r="37" spans="1:15" x14ac:dyDescent="0.2">
      <c r="A37" s="15" t="str">
        <f>IF(SUM(H37,J37:L37)=0,"",IF(ISNUMBER(SEARCH("E",E37)),tIngredientes[[#This Row],[Manter stock]]+tIngredientes[[#This Row],[Adicionar stock à lista das receitas]]*(J37+IFERROR(_xlfn.CEILING.MATH(K37/F37)+_xlfn.CEILING.MATH(L37/F37),0)),IF(E37="U",tIngredientes[[#This Row],[Manter stock]]+_xlfn.CEILING.MATH(tIngredientes[[#This Row],[Adicionar stock à lista das receitas]]*K37),IF(E37="M",tIngredientes[[#This Row],[Manter stock]]+tIngredientes[[#This Row],[Adicionar stock à lista das receitas]]*L37&amp;G37,"ERRO"))))</f>
        <v/>
      </c>
      <c r="B37" s="9" t="s">
        <v>283</v>
      </c>
      <c r="C37" s="9" t="s">
        <v>87</v>
      </c>
      <c r="D37" s="9" t="s">
        <v>233</v>
      </c>
      <c r="E37" s="24" t="s">
        <v>234</v>
      </c>
      <c r="F37" s="12">
        <v>100</v>
      </c>
      <c r="G37" s="12" t="s">
        <v>235</v>
      </c>
      <c r="H37" s="25" cm="1">
        <f t="array" ref="H37">_xlfn._xlws.FILTER(tSemanal[Q],tSemanal[Produto]=tIngredientes[[#This Row],[Mantimento]],0)</f>
        <v>0</v>
      </c>
      <c r="I37" s="27" cm="1">
        <f t="array" ref="I37">IF(tIngredientes[[#This Row],[Manter stock]]=0,1,IF(_xlfn._xlws.FILTER(tSemanal[Somar a quantidade à lista das receitas],tSemanal[Produto]=tIngredientes[[#This Row],[Mantimento]],"")="X",1,0))</f>
        <v>1</v>
      </c>
      <c r="J3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7" s="9" t="s">
        <v>284</v>
      </c>
      <c r="N37" s="9" t="s">
        <v>116</v>
      </c>
      <c r="O37" s="10"/>
    </row>
    <row r="38" spans="1:15" x14ac:dyDescent="0.2">
      <c r="A38" s="15" t="str">
        <f>IF(SUM(H38,J38:L38)=0,"",IF(ISNUMBER(SEARCH("E",E38)),tIngredientes[[#This Row],[Manter stock]]+tIngredientes[[#This Row],[Adicionar stock à lista das receitas]]*(J38+IFERROR(_xlfn.CEILING.MATH(K38/F38)+_xlfn.CEILING.MATH(L38/F38),0)),IF(E38="U",tIngredientes[[#This Row],[Manter stock]]+_xlfn.CEILING.MATH(tIngredientes[[#This Row],[Adicionar stock à lista das receitas]]*K38),IF(E38="M",tIngredientes[[#This Row],[Manter stock]]+tIngredientes[[#This Row],[Adicionar stock à lista das receitas]]*L38&amp;G38,"ERRO"))))</f>
        <v/>
      </c>
      <c r="B38" s="9" t="s">
        <v>24</v>
      </c>
      <c r="C38" s="9" t="s">
        <v>101</v>
      </c>
      <c r="D38" s="9" t="s">
        <v>135</v>
      </c>
      <c r="E38" s="24" t="s">
        <v>236</v>
      </c>
      <c r="F38" s="12"/>
      <c r="G38" s="12" t="s">
        <v>237</v>
      </c>
      <c r="H38" s="25" cm="1">
        <f t="array" ref="H38">_xlfn._xlws.FILTER(tSemanal[Q],tSemanal[Produto]=tIngredientes[[#This Row],[Mantimento]],0)</f>
        <v>0</v>
      </c>
      <c r="I38" s="27" cm="1">
        <f t="array" ref="I38">IF(tIngredientes[[#This Row],[Manter stock]]=0,1,IF(_xlfn._xlws.FILTER(tSemanal[Somar a quantidade à lista das receitas],tSemanal[Produto]=tIngredientes[[#This Row],[Mantimento]],"")="X",1,0))</f>
        <v>1</v>
      </c>
      <c r="J3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8" s="9" t="s">
        <v>285</v>
      </c>
      <c r="N38" s="9" t="s">
        <v>135</v>
      </c>
      <c r="O38" s="10"/>
    </row>
    <row r="39" spans="1:15" x14ac:dyDescent="0.2">
      <c r="A39" s="15" t="str">
        <f>IF(SUM(H39,J39:L39)=0,"",IF(ISNUMBER(SEARCH("E",E39)),tIngredientes[[#This Row],[Manter stock]]+tIngredientes[[#This Row],[Adicionar stock à lista das receitas]]*(J39+IFERROR(_xlfn.CEILING.MATH(K39/F39)+_xlfn.CEILING.MATH(L39/F39),0)),IF(E39="U",tIngredientes[[#This Row],[Manter stock]]+_xlfn.CEILING.MATH(tIngredientes[[#This Row],[Adicionar stock à lista das receitas]]*K39),IF(E39="M",tIngredientes[[#This Row],[Manter stock]]+tIngredientes[[#This Row],[Adicionar stock à lista das receitas]]*L39&amp;G39,"ERRO"))))</f>
        <v/>
      </c>
      <c r="B39" s="9" t="s">
        <v>88</v>
      </c>
      <c r="C39" s="9" t="s">
        <v>87</v>
      </c>
      <c r="D39" s="9" t="s">
        <v>233</v>
      </c>
      <c r="E39" s="24" t="s">
        <v>234</v>
      </c>
      <c r="F39" s="12">
        <v>50</v>
      </c>
      <c r="G39" s="12" t="s">
        <v>235</v>
      </c>
      <c r="H39" s="25" cm="1">
        <f t="array" ref="H39">_xlfn._xlws.FILTER(tSemanal[Q],tSemanal[Produto]=tIngredientes[[#This Row],[Mantimento]],0)</f>
        <v>0</v>
      </c>
      <c r="I39" s="27" cm="1">
        <f t="array" ref="I39">IF(tIngredientes[[#This Row],[Manter stock]]=0,1,IF(_xlfn._xlws.FILTER(tSemanal[Somar a quantidade à lista das receitas],tSemanal[Produto]=tIngredientes[[#This Row],[Mantimento]],"")="X",1,0))</f>
        <v>1</v>
      </c>
      <c r="J3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3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3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39" s="9" t="s">
        <v>286</v>
      </c>
      <c r="N39" s="9" t="s">
        <v>118</v>
      </c>
      <c r="O39" s="10"/>
    </row>
    <row r="40" spans="1:15" x14ac:dyDescent="0.2">
      <c r="A40" s="15" t="str">
        <f>IF(SUM(H40,J40:L40)=0,"",IF(ISNUMBER(SEARCH("E",E40)),tIngredientes[[#This Row],[Manter stock]]+tIngredientes[[#This Row],[Adicionar stock à lista das receitas]]*(J40+IFERROR(_xlfn.CEILING.MATH(K40/F40)+_xlfn.CEILING.MATH(L40/F40),0)),IF(E40="U",tIngredientes[[#This Row],[Manter stock]]+_xlfn.CEILING.MATH(tIngredientes[[#This Row],[Adicionar stock à lista das receitas]]*K40),IF(E40="M",tIngredientes[[#This Row],[Manter stock]]+tIngredientes[[#This Row],[Adicionar stock à lista das receitas]]*L40&amp;G40,"ERRO"))))</f>
        <v/>
      </c>
      <c r="B40" s="9" t="s">
        <v>143</v>
      </c>
      <c r="C40" s="9" t="s">
        <v>101</v>
      </c>
      <c r="D40" s="9" t="s">
        <v>233</v>
      </c>
      <c r="E40" s="24" t="s">
        <v>234</v>
      </c>
      <c r="F40" s="12">
        <v>1000</v>
      </c>
      <c r="G40" s="12" t="s">
        <v>235</v>
      </c>
      <c r="H40" s="25" cm="1">
        <f t="array" ref="H40">_xlfn._xlws.FILTER(tSemanal[Q],tSemanal[Produto]=tIngredientes[[#This Row],[Mantimento]],0)</f>
        <v>0</v>
      </c>
      <c r="I40" s="27" cm="1">
        <f t="array" ref="I40">IF(tIngredientes[[#This Row],[Manter stock]]=0,1,IF(_xlfn._xlws.FILTER(tSemanal[Somar a quantidade à lista das receitas],tSemanal[Produto]=tIngredientes[[#This Row],[Mantimento]],"")="X",1,0))</f>
        <v>1</v>
      </c>
      <c r="J4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0" s="9" t="s">
        <v>246</v>
      </c>
      <c r="N40" s="9" t="s">
        <v>117</v>
      </c>
      <c r="O40" s="10"/>
    </row>
    <row r="41" spans="1:15" x14ac:dyDescent="0.2">
      <c r="A41" s="15" t="str">
        <f>IF(SUM(H41,J41:L41)=0,"",IF(ISNUMBER(SEARCH("E",E41)),tIngredientes[[#This Row],[Manter stock]]+tIngredientes[[#This Row],[Adicionar stock à lista das receitas]]*(J41+IFERROR(_xlfn.CEILING.MATH(K41/F41)+_xlfn.CEILING.MATH(L41/F41),0)),IF(E41="U",tIngredientes[[#This Row],[Manter stock]]+_xlfn.CEILING.MATH(tIngredientes[[#This Row],[Adicionar stock à lista das receitas]]*K41),IF(E41="M",tIngredientes[[#This Row],[Manter stock]]+tIngredientes[[#This Row],[Adicionar stock à lista das receitas]]*L41&amp;G41,"ERRO"))))</f>
        <v/>
      </c>
      <c r="B41" s="9" t="s">
        <v>89</v>
      </c>
      <c r="C41" s="9" t="s">
        <v>87</v>
      </c>
      <c r="D41" s="9" t="s">
        <v>233</v>
      </c>
      <c r="E41" s="24" t="s">
        <v>234</v>
      </c>
      <c r="F41" s="12">
        <v>150</v>
      </c>
      <c r="G41" s="12" t="s">
        <v>235</v>
      </c>
      <c r="H41" s="25" cm="1">
        <f t="array" ref="H41">_xlfn._xlws.FILTER(tSemanal[Q],tSemanal[Produto]=tIngredientes[[#This Row],[Mantimento]],0)</f>
        <v>0</v>
      </c>
      <c r="I41" s="27" cm="1">
        <f t="array" ref="I41">IF(tIngredientes[[#This Row],[Manter stock]]=0,1,IF(_xlfn._xlws.FILTER(tSemanal[Somar a quantidade à lista das receitas],tSemanal[Produto]=tIngredientes[[#This Row],[Mantimento]],"")="X",1,0))</f>
        <v>1</v>
      </c>
      <c r="J4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1" s="9" t="s">
        <v>287</v>
      </c>
      <c r="N41" s="9" t="s">
        <v>118</v>
      </c>
      <c r="O41" s="10"/>
    </row>
    <row r="42" spans="1:15" x14ac:dyDescent="0.2">
      <c r="A42" s="15" t="str">
        <f>IF(SUM(H42,J42:L42)=0,"",IF(ISNUMBER(SEARCH("E",E42)),tIngredientes[[#This Row],[Manter stock]]+tIngredientes[[#This Row],[Adicionar stock à lista das receitas]]*(J42+IFERROR(_xlfn.CEILING.MATH(K42/F42)+_xlfn.CEILING.MATH(L42/F42),0)),IF(E42="U",tIngredientes[[#This Row],[Manter stock]]+_xlfn.CEILING.MATH(tIngredientes[[#This Row],[Adicionar stock à lista das receitas]]*K42),IF(E42="M",tIngredientes[[#This Row],[Manter stock]]+tIngredientes[[#This Row],[Adicionar stock à lista das receitas]]*L42&amp;G42,"ERRO"))))</f>
        <v/>
      </c>
      <c r="B42" s="9" t="s">
        <v>288</v>
      </c>
      <c r="C42" s="9" t="s">
        <v>84</v>
      </c>
      <c r="D42" s="9" t="s">
        <v>233</v>
      </c>
      <c r="E42" s="24" t="s">
        <v>234</v>
      </c>
      <c r="F42" s="12">
        <v>50</v>
      </c>
      <c r="G42" s="12" t="s">
        <v>235</v>
      </c>
      <c r="H42" s="25" cm="1">
        <f t="array" ref="H42">_xlfn._xlws.FILTER(tSemanal[Q],tSemanal[Produto]=tIngredientes[[#This Row],[Mantimento]],0)</f>
        <v>0</v>
      </c>
      <c r="I42" s="27" cm="1">
        <f t="array" ref="I42">IF(tIngredientes[[#This Row],[Manter stock]]=0,1,IF(_xlfn._xlws.FILTER(tSemanal[Somar a quantidade à lista das receitas],tSemanal[Produto]=tIngredientes[[#This Row],[Mantimento]],"")="X",1,0))</f>
        <v>1</v>
      </c>
      <c r="J4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2" s="9" t="s">
        <v>239</v>
      </c>
      <c r="N42" s="9" t="s">
        <v>126</v>
      </c>
      <c r="O42" s="10"/>
    </row>
    <row r="43" spans="1:15" x14ac:dyDescent="0.2">
      <c r="A43" s="15" t="str">
        <f>IF(SUM(H43,J43:L43)=0,"",IF(ISNUMBER(SEARCH("E",E43)),tIngredientes[[#This Row],[Manter stock]]+tIngredientes[[#This Row],[Adicionar stock à lista das receitas]]*(J43+IFERROR(_xlfn.CEILING.MATH(K43/F43)+_xlfn.CEILING.MATH(L43/F43),0)),IF(E43="U",tIngredientes[[#This Row],[Manter stock]]+_xlfn.CEILING.MATH(tIngredientes[[#This Row],[Adicionar stock à lista das receitas]]*K43),IF(E43="M",tIngredientes[[#This Row],[Manter stock]]+tIngredientes[[#This Row],[Adicionar stock à lista das receitas]]*L43&amp;G43,"ERRO"))))</f>
        <v/>
      </c>
      <c r="B43" s="9" t="s">
        <v>289</v>
      </c>
      <c r="C43" s="9" t="s">
        <v>87</v>
      </c>
      <c r="D43" s="9" t="s">
        <v>233</v>
      </c>
      <c r="E43" s="24" t="s">
        <v>236</v>
      </c>
      <c r="F43" s="12"/>
      <c r="G43" s="12" t="s">
        <v>237</v>
      </c>
      <c r="H43" s="25" cm="1">
        <f t="array" ref="H43">_xlfn._xlws.FILTER(tSemanal[Q],tSemanal[Produto]=tIngredientes[[#This Row],[Mantimento]],0)</f>
        <v>0</v>
      </c>
      <c r="I43" s="27" cm="1">
        <f t="array" ref="I43">IF(tIngredientes[[#This Row],[Manter stock]]=0,1,IF(_xlfn._xlws.FILTER(tSemanal[Somar a quantidade à lista das receitas],tSemanal[Produto]=tIngredientes[[#This Row],[Mantimento]],"")="X",1,0))</f>
        <v>1</v>
      </c>
      <c r="J4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3" s="9" t="s">
        <v>290</v>
      </c>
      <c r="N43" s="9" t="s">
        <v>118</v>
      </c>
      <c r="O43" s="10"/>
    </row>
    <row r="44" spans="1:15" x14ac:dyDescent="0.2">
      <c r="A44" s="15" t="str">
        <f>IF(SUM(H44,J44:L44)=0,"",IF(ISNUMBER(SEARCH("E",E44)),tIngredientes[[#This Row],[Manter stock]]+tIngredientes[[#This Row],[Adicionar stock à lista das receitas]]*(J44+IFERROR(_xlfn.CEILING.MATH(K44/F44)+_xlfn.CEILING.MATH(L44/F44),0)),IF(E44="U",tIngredientes[[#This Row],[Manter stock]]+_xlfn.CEILING.MATH(tIngredientes[[#This Row],[Adicionar stock à lista das receitas]]*K44),IF(E44="M",tIngredientes[[#This Row],[Manter stock]]+tIngredientes[[#This Row],[Adicionar stock à lista das receitas]]*L44&amp;G44,"ERRO"))))</f>
        <v/>
      </c>
      <c r="B44" s="9" t="s">
        <v>291</v>
      </c>
      <c r="C44" s="9" t="s">
        <v>87</v>
      </c>
      <c r="D44" s="9" t="s">
        <v>233</v>
      </c>
      <c r="E44" s="24" t="s">
        <v>236</v>
      </c>
      <c r="F44" s="12"/>
      <c r="G44" s="12" t="s">
        <v>237</v>
      </c>
      <c r="H44" s="25" cm="1">
        <f t="array" ref="H44">_xlfn._xlws.FILTER(tSemanal[Q],tSemanal[Produto]=tIngredientes[[#This Row],[Mantimento]],0)</f>
        <v>0</v>
      </c>
      <c r="I44" s="27" cm="1">
        <f t="array" ref="I44">IF(tIngredientes[[#This Row],[Manter stock]]=0,1,IF(_xlfn._xlws.FILTER(tSemanal[Somar a quantidade à lista das receitas],tSemanal[Produto]=tIngredientes[[#This Row],[Mantimento]],"")="X",1,0))</f>
        <v>1</v>
      </c>
      <c r="J4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4" s="9" t="s">
        <v>290</v>
      </c>
      <c r="N44" s="9" t="s">
        <v>118</v>
      </c>
      <c r="O44" s="10"/>
    </row>
    <row r="45" spans="1:15" x14ac:dyDescent="0.2">
      <c r="A45" s="15" t="str">
        <f>IF(SUM(H45,J45:L45)=0,"",IF(ISNUMBER(SEARCH("E",E45)),tIngredientes[[#This Row],[Manter stock]]+tIngredientes[[#This Row],[Adicionar stock à lista das receitas]]*(J45+IFERROR(_xlfn.CEILING.MATH(K45/F45)+_xlfn.CEILING.MATH(L45/F45),0)),IF(E45="U",tIngredientes[[#This Row],[Manter stock]]+_xlfn.CEILING.MATH(tIngredientes[[#This Row],[Adicionar stock à lista das receitas]]*K45),IF(E45="M",tIngredientes[[#This Row],[Manter stock]]+tIngredientes[[#This Row],[Adicionar stock à lista das receitas]]*L45&amp;G45,"ERRO"))))</f>
        <v/>
      </c>
      <c r="B45" s="9" t="s">
        <v>83</v>
      </c>
      <c r="C45" s="9" t="s">
        <v>84</v>
      </c>
      <c r="D45" s="9" t="s">
        <v>233</v>
      </c>
      <c r="E45" s="24" t="s">
        <v>234</v>
      </c>
      <c r="F45" s="12">
        <v>50</v>
      </c>
      <c r="G45" s="12" t="s">
        <v>235</v>
      </c>
      <c r="H45" s="25" cm="1">
        <f t="array" ref="H45">_xlfn._xlws.FILTER(tSemanal[Q],tSemanal[Produto]=tIngredientes[[#This Row],[Mantimento]],0)</f>
        <v>0</v>
      </c>
      <c r="I45" s="27" cm="1">
        <f t="array" ref="I45">IF(tIngredientes[[#This Row],[Manter stock]]=0,1,IF(_xlfn._xlws.FILTER(tSemanal[Somar a quantidade à lista das receitas],tSemanal[Produto]=tIngredientes[[#This Row],[Mantimento]],"")="X",1,0))</f>
        <v>1</v>
      </c>
      <c r="J4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5" s="9" t="s">
        <v>239</v>
      </c>
      <c r="N45" s="9" t="s">
        <v>126</v>
      </c>
      <c r="O45" s="10"/>
    </row>
    <row r="46" spans="1:15" x14ac:dyDescent="0.2">
      <c r="A46" s="15">
        <f>IF(SUM(H46,J46:L46)=0,"",IF(ISNUMBER(SEARCH("E",E46)),tIngredientes[[#This Row],[Manter stock]]+tIngredientes[[#This Row],[Adicionar stock à lista das receitas]]*(J46+IFERROR(_xlfn.CEILING.MATH(K46/F46)+_xlfn.CEILING.MATH(L46/F46),0)),IF(E46="U",tIngredientes[[#This Row],[Manter stock]]+_xlfn.CEILING.MATH(tIngredientes[[#This Row],[Adicionar stock à lista das receitas]]*K46),IF(E46="M",tIngredientes[[#This Row],[Manter stock]]+tIngredientes[[#This Row],[Adicionar stock à lista das receitas]]*L46&amp;G46,"ERRO"))))</f>
        <v>1</v>
      </c>
      <c r="B46" s="9" t="s">
        <v>104</v>
      </c>
      <c r="C46" s="9" t="s">
        <v>101</v>
      </c>
      <c r="D46" s="9" t="s">
        <v>233</v>
      </c>
      <c r="E46" s="24" t="s">
        <v>234</v>
      </c>
      <c r="F46" s="12"/>
      <c r="G46" s="12"/>
      <c r="H46" s="25" cm="1">
        <f t="array" ref="H46">_xlfn._xlws.FILTER(tSemanal[Q],tSemanal[Produto]=tIngredientes[[#This Row],[Mantimento]],0)</f>
        <v>1</v>
      </c>
      <c r="I46" s="27" cm="1">
        <f t="array" ref="I46">IF(tIngredientes[[#This Row],[Manter stock]]=0,1,IF(_xlfn._xlws.FILTER(tSemanal[Somar a quantidade à lista das receitas],tSemanal[Produto]=tIngredientes[[#This Row],[Mantimento]],"")="X",1,0))</f>
        <v>0</v>
      </c>
      <c r="J4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6" s="9" t="s">
        <v>246</v>
      </c>
      <c r="N46" s="9" t="s">
        <v>117</v>
      </c>
      <c r="O46" s="10"/>
    </row>
    <row r="47" spans="1:15" x14ac:dyDescent="0.2">
      <c r="A47" s="15">
        <f>IF(SUM(H47,J47:L47)=0,"",IF(ISNUMBER(SEARCH("E",E47)),tIngredientes[[#This Row],[Manter stock]]+tIngredientes[[#This Row],[Adicionar stock à lista das receitas]]*(J47+IFERROR(_xlfn.CEILING.MATH(K47/F47)+_xlfn.CEILING.MATH(L47/F47),0)),IF(E47="U",tIngredientes[[#This Row],[Manter stock]]+_xlfn.CEILING.MATH(tIngredientes[[#This Row],[Adicionar stock à lista das receitas]]*K47),IF(E47="M",tIngredientes[[#This Row],[Manter stock]]+tIngredientes[[#This Row],[Adicionar stock à lista das receitas]]*L47&amp;G47,"ERRO"))))</f>
        <v>1</v>
      </c>
      <c r="B47" s="9" t="s">
        <v>73</v>
      </c>
      <c r="C47" s="9" t="s">
        <v>69</v>
      </c>
      <c r="D47" s="9" t="s">
        <v>233</v>
      </c>
      <c r="E47" s="24" t="s">
        <v>234</v>
      </c>
      <c r="F47" s="12">
        <v>1000</v>
      </c>
      <c r="G47" s="12" t="s">
        <v>235</v>
      </c>
      <c r="H47" s="25" cm="1">
        <f t="array" ref="H47">_xlfn._xlws.FILTER(tSemanal[Q],tSemanal[Produto]=tIngredientes[[#This Row],[Mantimento]],0)</f>
        <v>1</v>
      </c>
      <c r="I47" s="27" cm="1">
        <f t="array" ref="I47">IF(tIngredientes[[#This Row],[Manter stock]]=0,1,IF(_xlfn._xlws.FILTER(tSemanal[Somar a quantidade à lista das receitas],tSemanal[Produto]=tIngredientes[[#This Row],[Mantimento]],"")="X",1,0))</f>
        <v>0</v>
      </c>
      <c r="J4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7" s="9" t="s">
        <v>292</v>
      </c>
      <c r="N47" s="9" t="s">
        <v>232</v>
      </c>
      <c r="O47" s="10"/>
    </row>
    <row r="48" spans="1:15" x14ac:dyDescent="0.2">
      <c r="A48" s="15">
        <f>IF(SUM(H48,J48:L48)=0,"",IF(ISNUMBER(SEARCH("E",E48)),tIngredientes[[#This Row],[Manter stock]]+tIngredientes[[#This Row],[Adicionar stock à lista das receitas]]*(J48+IFERROR(_xlfn.CEILING.MATH(K48/F48)+_xlfn.CEILING.MATH(L48/F48),0)),IF(E48="U",tIngredientes[[#This Row],[Manter stock]]+_xlfn.CEILING.MATH(tIngredientes[[#This Row],[Adicionar stock à lista das receitas]]*K48),IF(E48="M",tIngredientes[[#This Row],[Manter stock]]+tIngredientes[[#This Row],[Adicionar stock à lista das receitas]]*L48&amp;G48,"ERRO"))))</f>
        <v>4</v>
      </c>
      <c r="B48" s="9" t="s">
        <v>38</v>
      </c>
      <c r="C48" s="9" t="s">
        <v>36</v>
      </c>
      <c r="D48" s="9" t="s">
        <v>233</v>
      </c>
      <c r="E48" s="24" t="s">
        <v>236</v>
      </c>
      <c r="F48" s="12">
        <v>1</v>
      </c>
      <c r="G48" s="12" t="s">
        <v>237</v>
      </c>
      <c r="H48" s="25" cm="1">
        <f t="array" ref="H48">_xlfn._xlws.FILTER(tSemanal[Q],tSemanal[Produto]=tIngredientes[[#This Row],[Mantimento]],0)</f>
        <v>4</v>
      </c>
      <c r="I48" s="27" cm="1">
        <f t="array" ref="I48">IF(tIngredientes[[#This Row],[Manter stock]]=0,1,IF(_xlfn._xlws.FILTER(tSemanal[Somar a quantidade à lista das receitas],tSemanal[Produto]=tIngredientes[[#This Row],[Mantimento]],"")="X",1,0))</f>
        <v>0</v>
      </c>
      <c r="J4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8" s="9" t="s">
        <v>293</v>
      </c>
      <c r="N48" s="9" t="s">
        <v>122</v>
      </c>
      <c r="O48" s="10"/>
    </row>
    <row r="49" spans="1:15" x14ac:dyDescent="0.2">
      <c r="A49" s="15" t="str">
        <f>IF(SUM(H49,J49:L49)=0,"",IF(ISNUMBER(SEARCH("E",E49)),tIngredientes[[#This Row],[Manter stock]]+tIngredientes[[#This Row],[Adicionar stock à lista das receitas]]*(J49+IFERROR(_xlfn.CEILING.MATH(K49/F49)+_xlfn.CEILING.MATH(L49/F49),0)),IF(E49="U",tIngredientes[[#This Row],[Manter stock]]+_xlfn.CEILING.MATH(tIngredientes[[#This Row],[Adicionar stock à lista das receitas]]*K49),IF(E49="M",tIngredientes[[#This Row],[Manter stock]]+tIngredientes[[#This Row],[Adicionar stock à lista das receitas]]*L49&amp;G49,"ERRO"))))</f>
        <v/>
      </c>
      <c r="B49" s="9" t="s">
        <v>294</v>
      </c>
      <c r="C49" s="9" t="s">
        <v>101</v>
      </c>
      <c r="D49" s="9" t="s">
        <v>135</v>
      </c>
      <c r="E49" s="24" t="s">
        <v>240</v>
      </c>
      <c r="F49" s="12"/>
      <c r="G49" s="12" t="s">
        <v>237</v>
      </c>
      <c r="H49" s="25" cm="1">
        <f t="array" ref="H49">_xlfn._xlws.FILTER(tSemanal[Q],tSemanal[Produto]=tIngredientes[[#This Row],[Mantimento]],0)</f>
        <v>0</v>
      </c>
      <c r="I49" s="27" cm="1">
        <f t="array" ref="I49">IF(tIngredientes[[#This Row],[Manter stock]]=0,1,IF(_xlfn._xlws.FILTER(tSemanal[Somar a quantidade à lista das receitas],tSemanal[Produto]=tIngredientes[[#This Row],[Mantimento]],"")="X",1,0))</f>
        <v>1</v>
      </c>
      <c r="J4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4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4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49" s="9" t="s">
        <v>266</v>
      </c>
      <c r="N49" s="9" t="s">
        <v>135</v>
      </c>
      <c r="O49" s="10"/>
    </row>
    <row r="50" spans="1:15" x14ac:dyDescent="0.2">
      <c r="A50" s="15" t="str">
        <f>IF(SUM(H50,J50:L50)=0,"",IF(ISNUMBER(SEARCH("E",E50)),tIngredientes[[#This Row],[Manter stock]]+tIngredientes[[#This Row],[Adicionar stock à lista das receitas]]*(J50+IFERROR(_xlfn.CEILING.MATH(K50/F50)+_xlfn.CEILING.MATH(L50/F50),0)),IF(E50="U",tIngredientes[[#This Row],[Manter stock]]+_xlfn.CEILING.MATH(tIngredientes[[#This Row],[Adicionar stock à lista das receitas]]*K50),IF(E50="M",tIngredientes[[#This Row],[Manter stock]]+tIngredientes[[#This Row],[Adicionar stock à lista das receitas]]*L50&amp;G50,"ERRO"))))</f>
        <v/>
      </c>
      <c r="B50" s="9" t="s">
        <v>295</v>
      </c>
      <c r="C50" s="9" t="s">
        <v>101</v>
      </c>
      <c r="D50" s="9" t="s">
        <v>135</v>
      </c>
      <c r="E50" s="24" t="s">
        <v>240</v>
      </c>
      <c r="F50" s="12"/>
      <c r="G50" s="12" t="s">
        <v>235</v>
      </c>
      <c r="H50" s="25" cm="1">
        <f t="array" ref="H50">_xlfn._xlws.FILTER(tSemanal[Q],tSemanal[Produto]=tIngredientes[[#This Row],[Mantimento]],0)</f>
        <v>0</v>
      </c>
      <c r="I50" s="27" cm="1">
        <f t="array" ref="I50">IF(tIngredientes[[#This Row],[Manter stock]]=0,1,IF(_xlfn._xlws.FILTER(tSemanal[Somar a quantidade à lista das receitas],tSemanal[Produto]=tIngredientes[[#This Row],[Mantimento]],"")="X",1,0))</f>
        <v>1</v>
      </c>
      <c r="J5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50" s="9" t="s">
        <v>266</v>
      </c>
      <c r="N50" s="9" t="s">
        <v>135</v>
      </c>
      <c r="O50" s="10"/>
    </row>
    <row r="51" spans="1:15" x14ac:dyDescent="0.2">
      <c r="A51" s="15" t="str">
        <f>IF(SUM(H51,J51:L51)=0,"",IF(ISNUMBER(SEARCH("E",E51)),tIngredientes[[#This Row],[Manter stock]]+tIngredientes[[#This Row],[Adicionar stock à lista das receitas]]*(J51+IFERROR(_xlfn.CEILING.MATH(K51/F51)+_xlfn.CEILING.MATH(L51/F51),0)),IF(E51="U",tIngredientes[[#This Row],[Manter stock]]+_xlfn.CEILING.MATH(tIngredientes[[#This Row],[Adicionar stock à lista das receitas]]*K51),IF(E51="M",tIngredientes[[#This Row],[Manter stock]]+tIngredientes[[#This Row],[Adicionar stock à lista das receitas]]*L51&amp;G51,"ERRO"))))</f>
        <v/>
      </c>
      <c r="B51" s="9" t="s">
        <v>296</v>
      </c>
      <c r="C51" s="9" t="s">
        <v>84</v>
      </c>
      <c r="D51" s="9" t="s">
        <v>233</v>
      </c>
      <c r="E51" s="24" t="s">
        <v>234</v>
      </c>
      <c r="F51" s="12"/>
      <c r="G51" s="12"/>
      <c r="H51" s="25" cm="1">
        <f t="array" ref="H51">_xlfn._xlws.FILTER(tSemanal[Q],tSemanal[Produto]=tIngredientes[[#This Row],[Mantimento]],0)</f>
        <v>0</v>
      </c>
      <c r="I51" s="27" cm="1">
        <f t="array" ref="I51">IF(tIngredientes[[#This Row],[Manter stock]]=0,1,IF(_xlfn._xlws.FILTER(tSemanal[Somar a quantidade à lista das receitas],tSemanal[Produto]=tIngredientes[[#This Row],[Mantimento]],"")="X",1,0))</f>
        <v>1</v>
      </c>
      <c r="J5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51" s="9" t="s">
        <v>239</v>
      </c>
      <c r="N51" s="9" t="s">
        <v>126</v>
      </c>
      <c r="O51" s="10"/>
    </row>
    <row r="52" spans="1:15" x14ac:dyDescent="0.2">
      <c r="A52" s="15" t="str">
        <f>IF(SUM(H52,J52:L52)=0,"",IF(ISNUMBER(SEARCH("E",E52)),tIngredientes[[#This Row],[Manter stock]]+tIngredientes[[#This Row],[Adicionar stock à lista das receitas]]*(J52+IFERROR(_xlfn.CEILING.MATH(K52/F52)+_xlfn.CEILING.MATH(L52/F52),0)),IF(E52="U",tIngredientes[[#This Row],[Manter stock]]+_xlfn.CEILING.MATH(tIngredientes[[#This Row],[Adicionar stock à lista das receitas]]*K52),IF(E52="M",tIngredientes[[#This Row],[Manter stock]]+tIngredientes[[#This Row],[Adicionar stock à lista das receitas]]*L52&amp;G52,"ERRO"))))</f>
        <v/>
      </c>
      <c r="B52" s="11" t="s">
        <v>297</v>
      </c>
      <c r="C52" s="9" t="s">
        <v>101</v>
      </c>
      <c r="D52" s="9" t="s">
        <v>233</v>
      </c>
      <c r="E52" s="24" t="s">
        <v>234</v>
      </c>
      <c r="F52" s="12">
        <v>1000</v>
      </c>
      <c r="G52" s="12" t="s">
        <v>235</v>
      </c>
      <c r="H52" s="25" cm="1">
        <f t="array" ref="H52">_xlfn._xlws.FILTER(tSemanal[Q],tSemanal[Produto]=tIngredientes[[#This Row],[Mantimento]],0)</f>
        <v>0</v>
      </c>
      <c r="I52" s="27" cm="1">
        <f t="array" ref="I52">IF(tIngredientes[[#This Row],[Manter stock]]=0,1,IF(_xlfn._xlws.FILTER(tSemanal[Somar a quantidade à lista das receitas],tSemanal[Produto]=tIngredientes[[#This Row],[Mantimento]],"")="X",1,0))</f>
        <v>1</v>
      </c>
      <c r="J5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52" s="9" t="s">
        <v>246</v>
      </c>
      <c r="N52" s="9" t="s">
        <v>117</v>
      </c>
      <c r="O52" s="10"/>
    </row>
    <row r="53" spans="1:15" x14ac:dyDescent="0.2">
      <c r="A53" s="15" t="str">
        <f>IF(SUM(H53,J53:L53)=0,"",IF(ISNUMBER(SEARCH("E",E53)),tIngredientes[[#This Row],[Manter stock]]+tIngredientes[[#This Row],[Adicionar stock à lista das receitas]]*(J53+IFERROR(_xlfn.CEILING.MATH(K53/F53)+_xlfn.CEILING.MATH(L53/F53),0)),IF(E53="U",tIngredientes[[#This Row],[Manter stock]]+_xlfn.CEILING.MATH(tIngredientes[[#This Row],[Adicionar stock à lista das receitas]]*K53),IF(E53="M",tIngredientes[[#This Row],[Manter stock]]+tIngredientes[[#This Row],[Adicionar stock à lista das receitas]]*L53&amp;G53,"ERRO"))))</f>
        <v/>
      </c>
      <c r="B53" s="9" t="s">
        <v>298</v>
      </c>
      <c r="C53" s="9" t="s">
        <v>59</v>
      </c>
      <c r="D53" s="9" t="s">
        <v>233</v>
      </c>
      <c r="E53" s="24" t="s">
        <v>234</v>
      </c>
      <c r="F53" s="12"/>
      <c r="G53" s="12"/>
      <c r="H53" s="25" cm="1">
        <f t="array" ref="H53">_xlfn._xlws.FILTER(tSemanal[Q],tSemanal[Produto]=tIngredientes[[#This Row],[Mantimento]],0)</f>
        <v>0</v>
      </c>
      <c r="I53" s="27" cm="1">
        <f t="array" ref="I53">IF(tIngredientes[[#This Row],[Manter stock]]=0,1,IF(_xlfn._xlws.FILTER(tSemanal[Somar a quantidade à lista das receitas],tSemanal[Produto]=tIngredientes[[#This Row],[Mantimento]],"")="X",1,0))</f>
        <v>1</v>
      </c>
      <c r="J5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53" s="9" t="s">
        <v>239</v>
      </c>
      <c r="N53" s="9" t="s">
        <v>126</v>
      </c>
      <c r="O53" s="10"/>
    </row>
    <row r="54" spans="1:15" x14ac:dyDescent="0.2">
      <c r="A54" s="15" t="str">
        <f>IF(SUM(H54,J54:L54)=0,"",IF(ISNUMBER(SEARCH("E",E54)),tIngredientes[[#This Row],[Manter stock]]+tIngredientes[[#This Row],[Adicionar stock à lista das receitas]]*(J54+IFERROR(_xlfn.CEILING.MATH(K54/F54)+_xlfn.CEILING.MATH(L54/F54),0)),IF(E54="U",tIngredientes[[#This Row],[Manter stock]]+_xlfn.CEILING.MATH(tIngredientes[[#This Row],[Adicionar stock à lista das receitas]]*K54),IF(E54="M",tIngredientes[[#This Row],[Manter stock]]+tIngredientes[[#This Row],[Adicionar stock à lista das receitas]]*L54&amp;G54,"ERRO"))))</f>
        <v>800g</v>
      </c>
      <c r="B54" s="9" t="s">
        <v>134</v>
      </c>
      <c r="C54" s="9" t="s">
        <v>101</v>
      </c>
      <c r="D54" s="9" t="s">
        <v>135</v>
      </c>
      <c r="E54" s="24" t="s">
        <v>240</v>
      </c>
      <c r="F54" s="12"/>
      <c r="G54" s="12" t="s">
        <v>235</v>
      </c>
      <c r="H54" s="25" cm="1">
        <f t="array" ref="H54">_xlfn._xlws.FILTER(tSemanal[Q],tSemanal[Produto]=tIngredientes[[#This Row],[Mantimento]],0)</f>
        <v>0</v>
      </c>
      <c r="I54" s="27" cm="1">
        <f t="array" ref="I54">IF(tIngredientes[[#This Row],[Manter stock]]=0,1,IF(_xlfn._xlws.FILTER(tSemanal[Somar a quantidade à lista das receitas],tSemanal[Produto]=tIngredientes[[#This Row],[Mantimento]],"")="X",1,0))</f>
        <v>1</v>
      </c>
      <c r="J5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800</v>
      </c>
      <c r="M54" s="9" t="s">
        <v>275</v>
      </c>
      <c r="N54" s="9" t="s">
        <v>135</v>
      </c>
      <c r="O54" s="10"/>
    </row>
    <row r="55" spans="1:15" x14ac:dyDescent="0.2">
      <c r="A55" s="15">
        <f>IF(SUM(H55,J55:L55)=0,"",IF(ISNUMBER(SEARCH("E",E55)),tIngredientes[[#This Row],[Manter stock]]+tIngredientes[[#This Row],[Adicionar stock à lista das receitas]]*(J55+IFERROR(_xlfn.CEILING.MATH(K55/F55)+_xlfn.CEILING.MATH(L55/F55),0)),IF(E55="U",tIngredientes[[#This Row],[Manter stock]]+_xlfn.CEILING.MATH(tIngredientes[[#This Row],[Adicionar stock à lista das receitas]]*K55),IF(E55="M",tIngredientes[[#This Row],[Manter stock]]+tIngredientes[[#This Row],[Adicionar stock à lista das receitas]]*L55&amp;G55,"ERRO"))))</f>
        <v>3</v>
      </c>
      <c r="B55" s="9" t="s">
        <v>74</v>
      </c>
      <c r="C55" s="9" t="s">
        <v>69</v>
      </c>
      <c r="D55" s="9" t="s">
        <v>233</v>
      </c>
      <c r="E55" s="24" t="s">
        <v>234</v>
      </c>
      <c r="F55" s="12">
        <v>500</v>
      </c>
      <c r="G55" s="12" t="s">
        <v>235</v>
      </c>
      <c r="H55" s="25" cm="1">
        <f t="array" ref="H55">_xlfn._xlws.FILTER(tSemanal[Q],tSemanal[Produto]=tIngredientes[[#This Row],[Mantimento]],0)</f>
        <v>3</v>
      </c>
      <c r="I55" s="27" cm="1">
        <f t="array" ref="I55">IF(tIngredientes[[#This Row],[Manter stock]]=0,1,IF(_xlfn._xlws.FILTER(tSemanal[Somar a quantidade à lista das receitas],tSemanal[Produto]=tIngredientes[[#This Row],[Mantimento]],"")="X",1,0))</f>
        <v>0</v>
      </c>
      <c r="J5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55" s="9" t="s">
        <v>299</v>
      </c>
      <c r="N55" s="9" t="s">
        <v>232</v>
      </c>
      <c r="O55" s="10"/>
    </row>
    <row r="56" spans="1:15" x14ac:dyDescent="0.2">
      <c r="A56" s="15" t="str">
        <f>IF(SUM(H56,J56:L56)=0,"",IF(ISNUMBER(SEARCH("E",E56)),tIngredientes[[#This Row],[Manter stock]]+tIngredientes[[#This Row],[Adicionar stock à lista das receitas]]*(J56+IFERROR(_xlfn.CEILING.MATH(K56/F56)+_xlfn.CEILING.MATH(L56/F56),0)),IF(E56="U",tIngredientes[[#This Row],[Manter stock]]+_xlfn.CEILING.MATH(tIngredientes[[#This Row],[Adicionar stock à lista das receitas]]*K56),IF(E56="M",tIngredientes[[#This Row],[Manter stock]]+tIngredientes[[#This Row],[Adicionar stock à lista das receitas]]*L56&amp;G56,"ERRO"))))</f>
        <v/>
      </c>
      <c r="B56" s="9" t="s">
        <v>121</v>
      </c>
      <c r="C56" s="9" t="s">
        <v>87</v>
      </c>
      <c r="D56" s="9" t="s">
        <v>233</v>
      </c>
      <c r="E56" s="24" t="s">
        <v>234</v>
      </c>
      <c r="F56" s="12">
        <v>150</v>
      </c>
      <c r="G56" s="12" t="s">
        <v>235</v>
      </c>
      <c r="H56" s="25" cm="1">
        <f t="array" ref="H56">_xlfn._xlws.FILTER(tSemanal[Q],tSemanal[Produto]=tIngredientes[[#This Row],[Mantimento]],0)</f>
        <v>0</v>
      </c>
      <c r="I56" s="27" cm="1">
        <f t="array" ref="I56">IF(tIngredientes[[#This Row],[Manter stock]]=0,1,IF(_xlfn._xlws.FILTER(tSemanal[Somar a quantidade à lista das receitas],tSemanal[Produto]=tIngredientes[[#This Row],[Mantimento]],"")="X",1,0))</f>
        <v>1</v>
      </c>
      <c r="J5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56" s="9" t="s">
        <v>290</v>
      </c>
      <c r="N56" s="9" t="s">
        <v>118</v>
      </c>
      <c r="O56" s="10"/>
    </row>
    <row r="57" spans="1:15" x14ac:dyDescent="0.2">
      <c r="A57" s="15" t="str">
        <f>IF(SUM(H57,J57:L57)=0,"",IF(ISNUMBER(SEARCH("E",E57)),tIngredientes[[#This Row],[Manter stock]]+tIngredientes[[#This Row],[Adicionar stock à lista das receitas]]*(J57+IFERROR(_xlfn.CEILING.MATH(K57/F57)+_xlfn.CEILING.MATH(L57/F57),0)),IF(E57="U",tIngredientes[[#This Row],[Manter stock]]+_xlfn.CEILING.MATH(tIngredientes[[#This Row],[Adicionar stock à lista das receitas]]*K57),IF(E57="M",tIngredientes[[#This Row],[Manter stock]]+tIngredientes[[#This Row],[Adicionar stock à lista das receitas]]*L57&amp;G57,"ERRO"))))</f>
        <v/>
      </c>
      <c r="B57" s="9" t="s">
        <v>300</v>
      </c>
      <c r="C57" s="9" t="s">
        <v>87</v>
      </c>
      <c r="D57" s="9" t="s">
        <v>233</v>
      </c>
      <c r="E57" s="24" t="s">
        <v>234</v>
      </c>
      <c r="F57" s="12">
        <v>150</v>
      </c>
      <c r="G57" s="12" t="s">
        <v>235</v>
      </c>
      <c r="H57" s="25" cm="1">
        <f t="array" ref="H57">_xlfn._xlws.FILTER(tSemanal[Q],tSemanal[Produto]=tIngredientes[[#This Row],[Mantimento]],0)</f>
        <v>0</v>
      </c>
      <c r="I57" s="27" cm="1">
        <f t="array" ref="I57">IF(tIngredientes[[#This Row],[Manter stock]]=0,1,IF(_xlfn._xlws.FILTER(tSemanal[Somar a quantidade à lista das receitas],tSemanal[Produto]=tIngredientes[[#This Row],[Mantimento]],"")="X",1,0))</f>
        <v>1</v>
      </c>
      <c r="J5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57" s="9" t="s">
        <v>290</v>
      </c>
      <c r="N57" s="9" t="s">
        <v>118</v>
      </c>
      <c r="O57" s="10"/>
    </row>
    <row r="58" spans="1:15" x14ac:dyDescent="0.2">
      <c r="A58" s="15">
        <f>IF(SUM(H58,J58:L58)=0,"",IF(ISNUMBER(SEARCH("E",E58)),tIngredientes[[#This Row],[Manter stock]]+tIngredientes[[#This Row],[Adicionar stock à lista das receitas]]*(J58+IFERROR(_xlfn.CEILING.MATH(K58/F58)+_xlfn.CEILING.MATH(L58/F58),0)),IF(E58="U",tIngredientes[[#This Row],[Manter stock]]+_xlfn.CEILING.MATH(tIngredientes[[#This Row],[Adicionar stock à lista das receitas]]*K58),IF(E58="M",tIngredientes[[#This Row],[Manter stock]]+tIngredientes[[#This Row],[Adicionar stock à lista das receitas]]*L58&amp;G58,"ERRO"))))</f>
        <v>1</v>
      </c>
      <c r="B58" s="9" t="s">
        <v>105</v>
      </c>
      <c r="C58" s="9" t="s">
        <v>101</v>
      </c>
      <c r="D58" s="9" t="s">
        <v>233</v>
      </c>
      <c r="E58" s="24" t="s">
        <v>234</v>
      </c>
      <c r="F58" s="12">
        <v>1000</v>
      </c>
      <c r="G58" s="12" t="s">
        <v>235</v>
      </c>
      <c r="H58" s="25" cm="1">
        <f t="array" ref="H58">_xlfn._xlws.FILTER(tSemanal[Q],tSemanal[Produto]=tIngredientes[[#This Row],[Mantimento]],0)</f>
        <v>1</v>
      </c>
      <c r="I58" s="27" cm="1">
        <f t="array" ref="I58">IF(tIngredientes[[#This Row],[Manter stock]]=0,1,IF(_xlfn._xlws.FILTER(tSemanal[Somar a quantidade à lista das receitas],tSemanal[Produto]=tIngredientes[[#This Row],[Mantimento]],"")="X",1,0))</f>
        <v>1</v>
      </c>
      <c r="J5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58" s="9" t="s">
        <v>246</v>
      </c>
      <c r="N58" s="9" t="s">
        <v>117</v>
      </c>
      <c r="O58" s="10"/>
    </row>
    <row r="59" spans="1:15" x14ac:dyDescent="0.2">
      <c r="A59" s="15">
        <f>IF(SUM(H59,J59:L59)=0,"",IF(ISNUMBER(SEARCH("E",E59)),tIngredientes[[#This Row],[Manter stock]]+tIngredientes[[#This Row],[Adicionar stock à lista das receitas]]*(J59+IFERROR(_xlfn.CEILING.MATH(K59/F59)+_xlfn.CEILING.MATH(L59/F59),0)),IF(E59="U",tIngredientes[[#This Row],[Manter stock]]+_xlfn.CEILING.MATH(tIngredientes[[#This Row],[Adicionar stock à lista das receitas]]*K59),IF(E59="M",tIngredientes[[#This Row],[Manter stock]]+tIngredientes[[#This Row],[Adicionar stock à lista das receitas]]*L59&amp;G59,"ERRO"))))</f>
        <v>1</v>
      </c>
      <c r="B59" s="9" t="s">
        <v>301</v>
      </c>
      <c r="C59" s="9" t="s">
        <v>50</v>
      </c>
      <c r="D59" s="9" t="s">
        <v>233</v>
      </c>
      <c r="E59" s="24" t="s">
        <v>234</v>
      </c>
      <c r="F59" s="12">
        <v>1000</v>
      </c>
      <c r="G59" s="12" t="s">
        <v>235</v>
      </c>
      <c r="H59" s="25" cm="1">
        <f t="array" ref="H59">_xlfn._xlws.FILTER(tSemanal[Q],tSemanal[Produto]=tIngredientes[[#This Row],[Mantimento]],0)</f>
        <v>0</v>
      </c>
      <c r="I59" s="27" cm="1">
        <f t="array" ref="I59">IF(tIngredientes[[#This Row],[Manter stock]]=0,1,IF(_xlfn._xlws.FILTER(tSemanal[Somar a quantidade à lista das receitas],tSemanal[Produto]=tIngredientes[[#This Row],[Mantimento]],"")="X",1,0))</f>
        <v>1</v>
      </c>
      <c r="J5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5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5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122</v>
      </c>
      <c r="M59" s="9" t="s">
        <v>302</v>
      </c>
      <c r="N59" s="9" t="s">
        <v>232</v>
      </c>
      <c r="O59" s="10"/>
    </row>
    <row r="60" spans="1:15" x14ac:dyDescent="0.2">
      <c r="A60" s="15" t="str">
        <f>IF(SUM(H60,J60:L60)=0,"",IF(ISNUMBER(SEARCH("E",E60)),tIngredientes[[#This Row],[Manter stock]]+tIngredientes[[#This Row],[Adicionar stock à lista das receitas]]*(J60+IFERROR(_xlfn.CEILING.MATH(K60/F60)+_xlfn.CEILING.MATH(L60/F60),0)),IF(E60="U",tIngredientes[[#This Row],[Manter stock]]+_xlfn.CEILING.MATH(tIngredientes[[#This Row],[Adicionar stock à lista das receitas]]*K60),IF(E60="M",tIngredientes[[#This Row],[Manter stock]]+tIngredientes[[#This Row],[Adicionar stock à lista das receitas]]*L60&amp;G60,"ERRO"))))</f>
        <v/>
      </c>
      <c r="B60" s="9" t="s">
        <v>52</v>
      </c>
      <c r="C60" s="9" t="s">
        <v>50</v>
      </c>
      <c r="D60" s="9" t="s">
        <v>233</v>
      </c>
      <c r="E60" s="24" t="s">
        <v>234</v>
      </c>
      <c r="F60" s="12">
        <v>500</v>
      </c>
      <c r="G60" s="12" t="s">
        <v>235</v>
      </c>
      <c r="H60" s="25" cm="1">
        <f t="array" ref="H60">_xlfn._xlws.FILTER(tSemanal[Q],tSemanal[Produto]=tIngredientes[[#This Row],[Mantimento]],0)</f>
        <v>0</v>
      </c>
      <c r="I60" s="27" cm="1">
        <f t="array" ref="I60">IF(tIngredientes[[#This Row],[Manter stock]]=0,1,IF(_xlfn._xlws.FILTER(tSemanal[Somar a quantidade à lista das receitas],tSemanal[Produto]=tIngredientes[[#This Row],[Mantimento]],"")="X",1,0))</f>
        <v>1</v>
      </c>
      <c r="J6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0" s="9" t="s">
        <v>302</v>
      </c>
      <c r="N60" s="9" t="s">
        <v>232</v>
      </c>
      <c r="O60" s="10"/>
    </row>
    <row r="61" spans="1:15" x14ac:dyDescent="0.2">
      <c r="A61" s="15">
        <f>IF(SUM(H61,J61:L61)=0,"",IF(ISNUMBER(SEARCH("E",E61)),tIngredientes[[#This Row],[Manter stock]]+tIngredientes[[#This Row],[Adicionar stock à lista das receitas]]*(J61+IFERROR(_xlfn.CEILING.MATH(K61/F61)+_xlfn.CEILING.MATH(L61/F61),0)),IF(E61="U",tIngredientes[[#This Row],[Manter stock]]+_xlfn.CEILING.MATH(tIngredientes[[#This Row],[Adicionar stock à lista das receitas]]*K61),IF(E61="M",tIngredientes[[#This Row],[Manter stock]]+tIngredientes[[#This Row],[Adicionar stock à lista das receitas]]*L61&amp;G61,"ERRO"))))</f>
        <v>1</v>
      </c>
      <c r="B61" s="9" t="s">
        <v>106</v>
      </c>
      <c r="C61" s="9" t="s">
        <v>101</v>
      </c>
      <c r="D61" s="9" t="s">
        <v>233</v>
      </c>
      <c r="E61" s="24" t="s">
        <v>234</v>
      </c>
      <c r="F61" s="12">
        <v>500</v>
      </c>
      <c r="G61" s="12" t="s">
        <v>235</v>
      </c>
      <c r="H61" s="25" cm="1">
        <f t="array" ref="H61">_xlfn._xlws.FILTER(tSemanal[Q],tSemanal[Produto]=tIngredientes[[#This Row],[Mantimento]],0)</f>
        <v>1</v>
      </c>
      <c r="I61" s="27" cm="1">
        <f t="array" ref="I61">IF(tIngredientes[[#This Row],[Manter stock]]=0,1,IF(_xlfn._xlws.FILTER(tSemanal[Somar a quantidade à lista das receitas],tSemanal[Produto]=tIngredientes[[#This Row],[Mantimento]],"")="X",1,0))</f>
        <v>1</v>
      </c>
      <c r="J6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1" s="9" t="s">
        <v>303</v>
      </c>
      <c r="N61" s="9" t="s">
        <v>117</v>
      </c>
      <c r="O61" s="10"/>
    </row>
    <row r="62" spans="1:15" x14ac:dyDescent="0.2">
      <c r="A62" s="15" t="str">
        <f>IF(SUM(H62,J62:L62)=0,"",IF(ISNUMBER(SEARCH("E",E62)),tIngredientes[[#This Row],[Manter stock]]+tIngredientes[[#This Row],[Adicionar stock à lista das receitas]]*(J62+IFERROR(_xlfn.CEILING.MATH(K62/F62)+_xlfn.CEILING.MATH(L62/F62),0)),IF(E62="U",tIngredientes[[#This Row],[Manter stock]]+_xlfn.CEILING.MATH(tIngredientes[[#This Row],[Adicionar stock à lista das receitas]]*K62),IF(E62="M",tIngredientes[[#This Row],[Manter stock]]+tIngredientes[[#This Row],[Adicionar stock à lista das receitas]]*L62&amp;G62,"ERRO"))))</f>
        <v/>
      </c>
      <c r="B62" s="9" t="s">
        <v>304</v>
      </c>
      <c r="C62" s="9" t="s">
        <v>69</v>
      </c>
      <c r="D62" s="9" t="s">
        <v>233</v>
      </c>
      <c r="E62" s="24" t="s">
        <v>234</v>
      </c>
      <c r="F62" s="12">
        <v>500</v>
      </c>
      <c r="G62" s="12" t="s">
        <v>235</v>
      </c>
      <c r="H62" s="25" cm="1">
        <f t="array" ref="H62">_xlfn._xlws.FILTER(tSemanal[Q],tSemanal[Produto]=tIngredientes[[#This Row],[Mantimento]],0)</f>
        <v>0</v>
      </c>
      <c r="I62" s="27" cm="1">
        <f t="array" ref="I62">IF(tIngredientes[[#This Row],[Manter stock]]=0,1,IF(_xlfn._xlws.FILTER(tSemanal[Somar a quantidade à lista das receitas],tSemanal[Produto]=tIngredientes[[#This Row],[Mantimento]],"")="X",1,0))</f>
        <v>1</v>
      </c>
      <c r="J6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2" s="9" t="s">
        <v>299</v>
      </c>
      <c r="N62" s="9" t="s">
        <v>232</v>
      </c>
      <c r="O62" s="10"/>
    </row>
    <row r="63" spans="1:15" x14ac:dyDescent="0.2">
      <c r="A63" s="15">
        <f>IF(SUM(H63,J63:L63)=0,"",IF(ISNUMBER(SEARCH("E",E63)),tIngredientes[[#This Row],[Manter stock]]+tIngredientes[[#This Row],[Adicionar stock à lista das receitas]]*(J63+IFERROR(_xlfn.CEILING.MATH(K63/F63)+_xlfn.CEILING.MATH(L63/F63),0)),IF(E63="U",tIngredientes[[#This Row],[Manter stock]]+_xlfn.CEILING.MATH(tIngredientes[[#This Row],[Adicionar stock à lista das receitas]]*K63),IF(E63="M",tIngredientes[[#This Row],[Manter stock]]+tIngredientes[[#This Row],[Adicionar stock à lista das receitas]]*L63&amp;G63,"ERRO"))))</f>
        <v>1</v>
      </c>
      <c r="B63" s="9" t="s">
        <v>144</v>
      </c>
      <c r="C63" s="9" t="s">
        <v>87</v>
      </c>
      <c r="D63" s="9" t="s">
        <v>233</v>
      </c>
      <c r="E63" s="24" t="s">
        <v>234</v>
      </c>
      <c r="F63" s="12">
        <v>150</v>
      </c>
      <c r="G63" s="12" t="s">
        <v>235</v>
      </c>
      <c r="H63" s="25" cm="1">
        <f t="array" ref="H63">_xlfn._xlws.FILTER(tSemanal[Q],tSemanal[Produto]=tIngredientes[[#This Row],[Mantimento]],0)</f>
        <v>0</v>
      </c>
      <c r="I63" s="27" cm="1">
        <f t="array" ref="I63">IF(tIngredientes[[#This Row],[Manter stock]]=0,1,IF(_xlfn._xlws.FILTER(tSemanal[Somar a quantidade à lista das receitas],tSemanal[Produto]=tIngredientes[[#This Row],[Mantimento]],"")="X",1,0))</f>
        <v>1</v>
      </c>
      <c r="J63" s="42">
        <f>SUMIFS(tPorReceita[Quantidade],tPorReceita[Mantimento],"="&amp;tIngredientes[[#This Row],[Mantimento]],tPorReceita[Data],"&gt;="&amp;iPeriodoDeRefeições,tPorReceita[Data],"&lt;="&amp;fPeriodoDeRefeições,tPorReceita[Medida],"=emb")</f>
        <v>1</v>
      </c>
      <c r="K6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3" s="9" t="s">
        <v>305</v>
      </c>
      <c r="N63" s="9" t="s">
        <v>116</v>
      </c>
      <c r="O63" s="10"/>
    </row>
    <row r="64" spans="1:15" x14ac:dyDescent="0.2">
      <c r="A64" s="15">
        <f>IF(SUM(H64,J64:L64)=0,"",IF(ISNUMBER(SEARCH("E",E64)),tIngredientes[[#This Row],[Manter stock]]+tIngredientes[[#This Row],[Adicionar stock à lista das receitas]]*(J64+IFERROR(_xlfn.CEILING.MATH(K64/F64)+_xlfn.CEILING.MATH(L64/F64),0)),IF(E64="U",tIngredientes[[#This Row],[Manter stock]]+_xlfn.CEILING.MATH(tIngredientes[[#This Row],[Adicionar stock à lista das receitas]]*K64),IF(E64="M",tIngredientes[[#This Row],[Manter stock]]+tIngredientes[[#This Row],[Adicionar stock à lista das receitas]]*L64&amp;G64,"ERRO"))))</f>
        <v>1</v>
      </c>
      <c r="B64" s="9" t="s">
        <v>90</v>
      </c>
      <c r="C64" s="9" t="s">
        <v>87</v>
      </c>
      <c r="D64" s="9" t="s">
        <v>233</v>
      </c>
      <c r="E64" s="24" t="s">
        <v>234</v>
      </c>
      <c r="F64" s="12">
        <v>200</v>
      </c>
      <c r="G64" s="12" t="s">
        <v>235</v>
      </c>
      <c r="H64" s="25" cm="1">
        <f t="array" ref="H64">_xlfn._xlws.FILTER(tSemanal[Q],tSemanal[Produto]=tIngredientes[[#This Row],[Mantimento]],0)</f>
        <v>1</v>
      </c>
      <c r="I64" s="27" cm="1">
        <f t="array" ref="I64">IF(tIngredientes[[#This Row],[Manter stock]]=0,1,IF(_xlfn._xlws.FILTER(tSemanal[Somar a quantidade à lista das receitas],tSemanal[Produto]=tIngredientes[[#This Row],[Mantimento]],"")="X",1,0))</f>
        <v>1</v>
      </c>
      <c r="J6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4" s="9" t="s">
        <v>305</v>
      </c>
      <c r="N64" s="9" t="s">
        <v>116</v>
      </c>
      <c r="O64" s="10"/>
    </row>
    <row r="65" spans="1:15" x14ac:dyDescent="0.2">
      <c r="A65" s="15" t="str">
        <f>IF(SUM(H65,J65:L65)=0,"",IF(ISNUMBER(SEARCH("E",E65)),tIngredientes[[#This Row],[Manter stock]]+tIngredientes[[#This Row],[Adicionar stock à lista das receitas]]*(J65+IFERROR(_xlfn.CEILING.MATH(K65/F65)+_xlfn.CEILING.MATH(L65/F65),0)),IF(E65="U",tIngredientes[[#This Row],[Manter stock]]+_xlfn.CEILING.MATH(tIngredientes[[#This Row],[Adicionar stock à lista das receitas]]*K65),IF(E65="M",tIngredientes[[#This Row],[Manter stock]]+tIngredientes[[#This Row],[Adicionar stock à lista das receitas]]*L65&amp;G65,"ERRO"))))</f>
        <v/>
      </c>
      <c r="B65" s="9" t="s">
        <v>306</v>
      </c>
      <c r="C65" s="9" t="s">
        <v>101</v>
      </c>
      <c r="D65" s="9" t="s">
        <v>233</v>
      </c>
      <c r="E65" s="24" t="s">
        <v>234</v>
      </c>
      <c r="F65" s="12">
        <v>400</v>
      </c>
      <c r="G65" s="12" t="s">
        <v>235</v>
      </c>
      <c r="H65" s="25" cm="1">
        <f t="array" ref="H65">_xlfn._xlws.FILTER(tSemanal[Q],tSemanal[Produto]=tIngredientes[[#This Row],[Mantimento]],0)</f>
        <v>0</v>
      </c>
      <c r="I65" s="27" cm="1">
        <f t="array" ref="I65">IF(tIngredientes[[#This Row],[Manter stock]]=0,1,IF(_xlfn._xlws.FILTER(tSemanal[Somar a quantidade à lista das receitas],tSemanal[Produto]=tIngredientes[[#This Row],[Mantimento]],"")="X",1,0))</f>
        <v>1</v>
      </c>
      <c r="J6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5" s="9" t="s">
        <v>307</v>
      </c>
      <c r="N65" s="9" t="s">
        <v>129</v>
      </c>
      <c r="O65" s="10"/>
    </row>
    <row r="66" spans="1:15" x14ac:dyDescent="0.2">
      <c r="A66" s="15">
        <f>IF(SUM(H66,J66:L66)=0,"",IF(ISNUMBER(SEARCH("E",E66)),tIngredientes[[#This Row],[Manter stock]]+tIngredientes[[#This Row],[Adicionar stock à lista das receitas]]*(J66+IFERROR(_xlfn.CEILING.MATH(K66/F66)+_xlfn.CEILING.MATH(L66/F66),0)),IF(E66="U",tIngredientes[[#This Row],[Manter stock]]+_xlfn.CEILING.MATH(tIngredientes[[#This Row],[Adicionar stock à lista das receitas]]*K66),IF(E66="M",tIngredientes[[#This Row],[Manter stock]]+tIngredientes[[#This Row],[Adicionar stock à lista das receitas]]*L66&amp;G66,"ERRO"))))</f>
        <v>1</v>
      </c>
      <c r="B66" s="9" t="s">
        <v>107</v>
      </c>
      <c r="C66" s="9" t="s">
        <v>101</v>
      </c>
      <c r="D66" s="9" t="s">
        <v>135</v>
      </c>
      <c r="E66" s="24" t="s">
        <v>236</v>
      </c>
      <c r="F66" s="12"/>
      <c r="G66" s="12" t="s">
        <v>237</v>
      </c>
      <c r="H66" s="25" cm="1">
        <f t="array" ref="H66">_xlfn._xlws.FILTER(tSemanal[Q],tSemanal[Produto]=tIngredientes[[#This Row],[Mantimento]],0)</f>
        <v>0</v>
      </c>
      <c r="I66" s="27" cm="1">
        <f t="array" ref="I66">IF(tIngredientes[[#This Row],[Manter stock]]=0,1,IF(_xlfn._xlws.FILTER(tSemanal[Somar a quantidade à lista das receitas],tSemanal[Produto]=tIngredientes[[#This Row],[Mantimento]],"")="X",1,0))</f>
        <v>1</v>
      </c>
      <c r="J6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6" s="42">
        <f>SUMIFS(tPorReceita[Quantidade],tPorReceita[Mantimento],"="&amp;tIngredientes[[#This Row],[Mantimento]],tPorReceita[Data],"&gt;="&amp;iPeriodoDeRefeições,tPorReceita[Data],"&lt;="&amp;fPeriodoDeRefeições,tPorReceita[Medida],"=un")</f>
        <v>0.5</v>
      </c>
      <c r="L6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6" s="9" t="s">
        <v>268</v>
      </c>
      <c r="N66" s="9" t="s">
        <v>135</v>
      </c>
      <c r="O66" s="10"/>
    </row>
    <row r="67" spans="1:15" x14ac:dyDescent="0.2">
      <c r="A67" s="15">
        <f>IF(SUM(H67,J67:L67)=0,"",IF(ISNUMBER(SEARCH("E",E67)),tIngredientes[[#This Row],[Manter stock]]+tIngredientes[[#This Row],[Adicionar stock à lista das receitas]]*(J67+IFERROR(_xlfn.CEILING.MATH(K67/F67)+_xlfn.CEILING.MATH(L67/F67),0)),IF(E67="U",tIngredientes[[#This Row],[Manter stock]]+_xlfn.CEILING.MATH(tIngredientes[[#This Row],[Adicionar stock à lista das receitas]]*K67),IF(E67="M",tIngredientes[[#This Row],[Manter stock]]+tIngredientes[[#This Row],[Adicionar stock à lista das receitas]]*L67&amp;G67,"ERRO"))))</f>
        <v>1</v>
      </c>
      <c r="B67" s="9" t="s">
        <v>75</v>
      </c>
      <c r="C67" s="9" t="s">
        <v>69</v>
      </c>
      <c r="D67" s="9" t="s">
        <v>233</v>
      </c>
      <c r="E67" s="24" t="s">
        <v>234</v>
      </c>
      <c r="F67" s="12"/>
      <c r="G67" s="12"/>
      <c r="H67" s="25" cm="1">
        <f t="array" ref="H67">_xlfn._xlws.FILTER(tSemanal[Q],tSemanal[Produto]=tIngredientes[[#This Row],[Mantimento]],0)</f>
        <v>1</v>
      </c>
      <c r="I67" s="27" cm="1">
        <f t="array" ref="I67">IF(tIngredientes[[#This Row],[Manter stock]]=0,1,IF(_xlfn._xlws.FILTER(tSemanal[Somar a quantidade à lista das receitas],tSemanal[Produto]=tIngredientes[[#This Row],[Mantimento]],"")="X",1,0))</f>
        <v>1</v>
      </c>
      <c r="J6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7" s="9" t="s">
        <v>308</v>
      </c>
      <c r="N67" s="9" t="s">
        <v>126</v>
      </c>
      <c r="O67" s="10"/>
    </row>
    <row r="68" spans="1:15" x14ac:dyDescent="0.2">
      <c r="A68" s="15">
        <f>IF(SUM(H68,J68:L68)=0,"",IF(ISNUMBER(SEARCH("E",E68)),tIngredientes[[#This Row],[Manter stock]]+tIngredientes[[#This Row],[Adicionar stock à lista das receitas]]*(J68+IFERROR(_xlfn.CEILING.MATH(K68/F68)+_xlfn.CEILING.MATH(L68/F68),0)),IF(E68="U",tIngredientes[[#This Row],[Manter stock]]+_xlfn.CEILING.MATH(tIngredientes[[#This Row],[Adicionar stock à lista das receitas]]*K68),IF(E68="M",tIngredientes[[#This Row],[Manter stock]]+tIngredientes[[#This Row],[Adicionar stock à lista das receitas]]*L68&amp;G68,"ERRO"))))</f>
        <v>1</v>
      </c>
      <c r="B68" s="9" t="s">
        <v>76</v>
      </c>
      <c r="C68" s="9" t="s">
        <v>69</v>
      </c>
      <c r="D68" s="9" t="s">
        <v>233</v>
      </c>
      <c r="E68" s="24" t="s">
        <v>234</v>
      </c>
      <c r="F68" s="12"/>
      <c r="G68" s="12"/>
      <c r="H68" s="25" cm="1">
        <f t="array" ref="H68">_xlfn._xlws.FILTER(tSemanal[Q],tSemanal[Produto]=tIngredientes[[#This Row],[Mantimento]],0)</f>
        <v>1</v>
      </c>
      <c r="I68" s="27" cm="1">
        <f t="array" ref="I68">IF(tIngredientes[[#This Row],[Manter stock]]=0,1,IF(_xlfn._xlws.FILTER(tSemanal[Somar a quantidade à lista das receitas],tSemanal[Produto]=tIngredientes[[#This Row],[Mantimento]],"")="X",1,0))</f>
        <v>1</v>
      </c>
      <c r="J6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8" s="9" t="s">
        <v>308</v>
      </c>
      <c r="N68" s="9" t="s">
        <v>126</v>
      </c>
      <c r="O68" s="10"/>
    </row>
    <row r="69" spans="1:15" x14ac:dyDescent="0.2">
      <c r="A69" s="15">
        <f>IF(SUM(H69,J69:L69)=0,"",IF(ISNUMBER(SEARCH("E",E69)),tIngredientes[[#This Row],[Manter stock]]+tIngredientes[[#This Row],[Adicionar stock à lista das receitas]]*(J69+IFERROR(_xlfn.CEILING.MATH(K69/F69)+_xlfn.CEILING.MATH(L69/F69),0)),IF(E69="U",tIngredientes[[#This Row],[Manter stock]]+_xlfn.CEILING.MATH(tIngredientes[[#This Row],[Adicionar stock à lista das receitas]]*K69),IF(E69="M",tIngredientes[[#This Row],[Manter stock]]+tIngredientes[[#This Row],[Adicionar stock à lista das receitas]]*L69&amp;G69,"ERRO"))))</f>
        <v>1</v>
      </c>
      <c r="B69" s="9" t="s">
        <v>77</v>
      </c>
      <c r="C69" s="9" t="s">
        <v>69</v>
      </c>
      <c r="D69" s="9" t="s">
        <v>233</v>
      </c>
      <c r="E69" s="24" t="s">
        <v>234</v>
      </c>
      <c r="F69" s="12"/>
      <c r="G69" s="12"/>
      <c r="H69" s="25" cm="1">
        <f t="array" ref="H69">_xlfn._xlws.FILTER(tSemanal[Q],tSemanal[Produto]=tIngredientes[[#This Row],[Mantimento]],0)</f>
        <v>1</v>
      </c>
      <c r="I69" s="27" cm="1">
        <f t="array" ref="I69">IF(tIngredientes[[#This Row],[Manter stock]]=0,1,IF(_xlfn._xlws.FILTER(tSemanal[Somar a quantidade à lista das receitas],tSemanal[Produto]=tIngredientes[[#This Row],[Mantimento]],"")="X",1,0))</f>
        <v>1</v>
      </c>
      <c r="J6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6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6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69" s="9" t="s">
        <v>308</v>
      </c>
      <c r="N69" s="9" t="s">
        <v>126</v>
      </c>
      <c r="O69" s="10"/>
    </row>
    <row r="70" spans="1:15" x14ac:dyDescent="0.2">
      <c r="A70" s="15">
        <f>IF(SUM(H70,J70:L70)=0,"",IF(ISNUMBER(SEARCH("E",E70)),tIngredientes[[#This Row],[Manter stock]]+tIngredientes[[#This Row],[Adicionar stock à lista das receitas]]*(J70+IFERROR(_xlfn.CEILING.MATH(K70/F70)+_xlfn.CEILING.MATH(L70/F70),0)),IF(E70="U",tIngredientes[[#This Row],[Manter stock]]+_xlfn.CEILING.MATH(tIngredientes[[#This Row],[Adicionar stock à lista das receitas]]*K70),IF(E70="M",tIngredientes[[#This Row],[Manter stock]]+tIngredientes[[#This Row],[Adicionar stock à lista das receitas]]*L70&amp;G70,"ERRO"))))</f>
        <v>1</v>
      </c>
      <c r="B70" s="9" t="s">
        <v>39</v>
      </c>
      <c r="C70" s="9" t="s">
        <v>36</v>
      </c>
      <c r="D70" s="9" t="s">
        <v>233</v>
      </c>
      <c r="E70" s="24" t="s">
        <v>236</v>
      </c>
      <c r="F70" s="12"/>
      <c r="G70" s="12"/>
      <c r="H70" s="25" cm="1">
        <f t="array" ref="H70">_xlfn._xlws.FILTER(tSemanal[Q],tSemanal[Produto]=tIngredientes[[#This Row],[Mantimento]],0)</f>
        <v>1</v>
      </c>
      <c r="I70" s="27" cm="1">
        <f t="array" ref="I70">IF(tIngredientes[[#This Row],[Manter stock]]=0,1,IF(_xlfn._xlws.FILTER(tSemanal[Somar a quantidade à lista das receitas],tSemanal[Produto]=tIngredientes[[#This Row],[Mantimento]],"")="X",1,0))</f>
        <v>1</v>
      </c>
      <c r="J7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0" s="9" t="s">
        <v>309</v>
      </c>
      <c r="N70" s="9"/>
      <c r="O70" s="10"/>
    </row>
    <row r="71" spans="1:15" x14ac:dyDescent="0.2">
      <c r="A71" s="15" t="str">
        <f>IF(SUM(H71,J71:L71)=0,"",IF(ISNUMBER(SEARCH("E",E71)),tIngredientes[[#This Row],[Manter stock]]+tIngredientes[[#This Row],[Adicionar stock à lista das receitas]]*(J71+IFERROR(_xlfn.CEILING.MATH(K71/F71)+_xlfn.CEILING.MATH(L71/F71),0)),IF(E71="U",tIngredientes[[#This Row],[Manter stock]]+_xlfn.CEILING.MATH(tIngredientes[[#This Row],[Adicionar stock à lista das receitas]]*K71),IF(E71="M",tIngredientes[[#This Row],[Manter stock]]+tIngredientes[[#This Row],[Adicionar stock à lista das receitas]]*L71&amp;G71,"ERRO"))))</f>
        <v/>
      </c>
      <c r="B71" s="9" t="s">
        <v>310</v>
      </c>
      <c r="C71" s="9" t="s">
        <v>101</v>
      </c>
      <c r="D71" s="9" t="s">
        <v>135</v>
      </c>
      <c r="E71" s="24" t="s">
        <v>236</v>
      </c>
      <c r="F71" s="12"/>
      <c r="G71" s="12" t="s">
        <v>237</v>
      </c>
      <c r="H71" s="25" cm="1">
        <f t="array" ref="H71">_xlfn._xlws.FILTER(tSemanal[Q],tSemanal[Produto]=tIngredientes[[#This Row],[Mantimento]],0)</f>
        <v>0</v>
      </c>
      <c r="I71" s="27" cm="1">
        <f t="array" ref="I71">IF(tIngredientes[[#This Row],[Manter stock]]=0,1,IF(_xlfn._xlws.FILTER(tSemanal[Somar a quantidade à lista das receitas],tSemanal[Produto]=tIngredientes[[#This Row],[Mantimento]],"")="X",1,0))</f>
        <v>1</v>
      </c>
      <c r="J7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1" s="9" t="s">
        <v>250</v>
      </c>
      <c r="N71" s="9" t="s">
        <v>135</v>
      </c>
      <c r="O71" s="10"/>
    </row>
    <row r="72" spans="1:15" x14ac:dyDescent="0.2">
      <c r="A72" s="15">
        <f>IF(SUM(H72,J72:L72)=0,"",IF(ISNUMBER(SEARCH("E",E72)),tIngredientes[[#This Row],[Manter stock]]+tIngredientes[[#This Row],[Adicionar stock à lista das receitas]]*(J72+IFERROR(_xlfn.CEILING.MATH(K72/F72)+_xlfn.CEILING.MATH(L72/F72),0)),IF(E72="U",tIngredientes[[#This Row],[Manter stock]]+_xlfn.CEILING.MATH(tIngredientes[[#This Row],[Adicionar stock à lista das receitas]]*K72),IF(E72="M",tIngredientes[[#This Row],[Manter stock]]+tIngredientes[[#This Row],[Adicionar stock à lista das receitas]]*L72&amp;G72,"ERRO"))))</f>
        <v>1</v>
      </c>
      <c r="B72" s="9" t="s">
        <v>91</v>
      </c>
      <c r="C72" s="9" t="s">
        <v>87</v>
      </c>
      <c r="D72" s="9" t="s">
        <v>233</v>
      </c>
      <c r="E72" s="24" t="s">
        <v>243</v>
      </c>
      <c r="F72" s="12">
        <v>4</v>
      </c>
      <c r="G72" s="12" t="s">
        <v>237</v>
      </c>
      <c r="H72" s="25" cm="1">
        <f t="array" ref="H72">_xlfn._xlws.FILTER(tSemanal[Q],tSemanal[Produto]=tIngredientes[[#This Row],[Mantimento]],0)</f>
        <v>1</v>
      </c>
      <c r="I72" s="27" cm="1">
        <f t="array" ref="I72">IF(tIngredientes[[#This Row],[Manter stock]]=0,1,IF(_xlfn._xlws.FILTER(tSemanal[Somar a quantidade à lista das receitas],tSemanal[Produto]=tIngredientes[[#This Row],[Mantimento]],"")="X",1,0))</f>
        <v>1</v>
      </c>
      <c r="J7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2" s="9" t="s">
        <v>311</v>
      </c>
      <c r="N72" s="9" t="s">
        <v>123</v>
      </c>
      <c r="O72" s="10"/>
    </row>
    <row r="73" spans="1:15" x14ac:dyDescent="0.2">
      <c r="A73" s="15">
        <f>IF(SUM(H73,J73:L73)=0,"",IF(ISNUMBER(SEARCH("E",E73)),tIngredientes[[#This Row],[Manter stock]]+tIngredientes[[#This Row],[Adicionar stock à lista das receitas]]*(J73+IFERROR(_xlfn.CEILING.MATH(K73/F73)+_xlfn.CEILING.MATH(L73/F73),0)),IF(E73="U",tIngredientes[[#This Row],[Manter stock]]+_xlfn.CEILING.MATH(tIngredientes[[#This Row],[Adicionar stock à lista das receitas]]*K73),IF(E73="M",tIngredientes[[#This Row],[Manter stock]]+tIngredientes[[#This Row],[Adicionar stock à lista das receitas]]*L73&amp;G73,"ERRO"))))</f>
        <v>2</v>
      </c>
      <c r="B73" s="9" t="s">
        <v>92</v>
      </c>
      <c r="C73" s="9" t="s">
        <v>87</v>
      </c>
      <c r="D73" s="9" t="s">
        <v>233</v>
      </c>
      <c r="E73" s="24" t="s">
        <v>243</v>
      </c>
      <c r="F73" s="12">
        <v>4</v>
      </c>
      <c r="G73" s="12" t="s">
        <v>237</v>
      </c>
      <c r="H73" s="25" cm="1">
        <f t="array" ref="H73">_xlfn._xlws.FILTER(tSemanal[Q],tSemanal[Produto]=tIngredientes[[#This Row],[Mantimento]],0)</f>
        <v>2</v>
      </c>
      <c r="I73" s="27" cm="1">
        <f t="array" ref="I73">IF(tIngredientes[[#This Row],[Manter stock]]=0,1,IF(_xlfn._xlws.FILTER(tSemanal[Somar a quantidade à lista das receitas],tSemanal[Produto]=tIngredientes[[#This Row],[Mantimento]],"")="X",1,0))</f>
        <v>1</v>
      </c>
      <c r="J7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3" s="9" t="s">
        <v>312</v>
      </c>
      <c r="N73" s="9" t="s">
        <v>123</v>
      </c>
      <c r="O73" s="10"/>
    </row>
    <row r="74" spans="1:15" x14ac:dyDescent="0.2">
      <c r="A74" s="15">
        <f>IF(SUM(H74,J74:L74)=0,"",IF(ISNUMBER(SEARCH("E",E74)),tIngredientes[[#This Row],[Manter stock]]+tIngredientes[[#This Row],[Adicionar stock à lista das receitas]]*(J74+IFERROR(_xlfn.CEILING.MATH(K74/F74)+_xlfn.CEILING.MATH(L74/F74),0)),IF(E74="U",tIngredientes[[#This Row],[Manter stock]]+_xlfn.CEILING.MATH(tIngredientes[[#This Row],[Adicionar stock à lista das receitas]]*K74),IF(E74="M",tIngredientes[[#This Row],[Manter stock]]+tIngredientes[[#This Row],[Adicionar stock à lista das receitas]]*L74&amp;G74,"ERRO"))))</f>
        <v>4</v>
      </c>
      <c r="B74" s="10" t="s">
        <v>78</v>
      </c>
      <c r="C74" s="9" t="s">
        <v>69</v>
      </c>
      <c r="D74" s="9" t="s">
        <v>233</v>
      </c>
      <c r="E74" s="24" t="s">
        <v>234</v>
      </c>
      <c r="F74" s="12">
        <v>80</v>
      </c>
      <c r="G74" s="12" t="s">
        <v>235</v>
      </c>
      <c r="H74" s="25" cm="1">
        <f t="array" ref="H74">_xlfn._xlws.FILTER(tSemanal[Q],tSemanal[Produto]=tIngredientes[[#This Row],[Mantimento]],0)</f>
        <v>4</v>
      </c>
      <c r="I74" s="27" cm="1">
        <f t="array" ref="I74">IF(tIngredientes[[#This Row],[Manter stock]]=0,1,IF(_xlfn._xlws.FILTER(tSemanal[Somar a quantidade à lista das receitas],tSemanal[Produto]=tIngredientes[[#This Row],[Mantimento]],"")="X",1,0))</f>
        <v>1</v>
      </c>
      <c r="J7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4" s="9" t="s">
        <v>313</v>
      </c>
      <c r="N74" s="9" t="s">
        <v>126</v>
      </c>
      <c r="O74" s="10"/>
    </row>
    <row r="75" spans="1:15" x14ac:dyDescent="0.2">
      <c r="A75" s="15">
        <f>IF(SUM(H75,J75:L75)=0,"",IF(ISNUMBER(SEARCH("E",E75)),tIngredientes[[#This Row],[Manter stock]]+tIngredientes[[#This Row],[Adicionar stock à lista das receitas]]*(J75+IFERROR(_xlfn.CEILING.MATH(K75/F75)+_xlfn.CEILING.MATH(L75/F75),0)),IF(E75="U",tIngredientes[[#This Row],[Manter stock]]+_xlfn.CEILING.MATH(tIngredientes[[#This Row],[Adicionar stock à lista das receitas]]*K75),IF(E75="M",tIngredientes[[#This Row],[Manter stock]]+tIngredientes[[#This Row],[Adicionar stock à lista das receitas]]*L75&amp;G75,"ERRO"))))</f>
        <v>2</v>
      </c>
      <c r="B75" s="9" t="s">
        <v>79</v>
      </c>
      <c r="C75" s="9" t="s">
        <v>69</v>
      </c>
      <c r="D75" s="9" t="s">
        <v>233</v>
      </c>
      <c r="E75" s="24" t="s">
        <v>234</v>
      </c>
      <c r="F75" s="12">
        <v>800</v>
      </c>
      <c r="G75" s="12" t="s">
        <v>235</v>
      </c>
      <c r="H75" s="25" cm="1">
        <f t="array" ref="H75">_xlfn._xlws.FILTER(tSemanal[Q],tSemanal[Produto]=tIngredientes[[#This Row],[Mantimento]],0)</f>
        <v>2</v>
      </c>
      <c r="I75" s="27" cm="1">
        <f t="array" ref="I75">IF(tIngredientes[[#This Row],[Manter stock]]=0,1,IF(_xlfn._xlws.FILTER(tSemanal[Somar a quantidade à lista das receitas],tSemanal[Produto]=tIngredientes[[#This Row],[Mantimento]],"")="X",1,0))</f>
        <v>1</v>
      </c>
      <c r="J7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5" s="9" t="s">
        <v>308</v>
      </c>
      <c r="N75" s="9" t="s">
        <v>126</v>
      </c>
      <c r="O75" s="10"/>
    </row>
    <row r="76" spans="1:15" x14ac:dyDescent="0.2">
      <c r="A76" s="15">
        <f>IF(SUM(H76,J76:L76)=0,"",IF(ISNUMBER(SEARCH("E",E76)),tIngredientes[[#This Row],[Manter stock]]+tIngredientes[[#This Row],[Adicionar stock à lista das receitas]]*(J76+IFERROR(_xlfn.CEILING.MATH(K76/F76)+_xlfn.CEILING.MATH(L76/F76),0)),IF(E76="U",tIngredientes[[#This Row],[Manter stock]]+_xlfn.CEILING.MATH(tIngredientes[[#This Row],[Adicionar stock à lista das receitas]]*K76),IF(E76="M",tIngredientes[[#This Row],[Manter stock]]+tIngredientes[[#This Row],[Adicionar stock à lista das receitas]]*L76&amp;G76,"ERRO"))))</f>
        <v>1</v>
      </c>
      <c r="B76" s="9" t="s">
        <v>80</v>
      </c>
      <c r="C76" s="9" t="s">
        <v>69</v>
      </c>
      <c r="D76" s="9" t="s">
        <v>233</v>
      </c>
      <c r="E76" s="24" t="s">
        <v>234</v>
      </c>
      <c r="F76" s="12">
        <v>800</v>
      </c>
      <c r="G76" s="12" t="s">
        <v>235</v>
      </c>
      <c r="H76" s="25" cm="1">
        <f t="array" ref="H76">_xlfn._xlws.FILTER(tSemanal[Q],tSemanal[Produto]=tIngredientes[[#This Row],[Mantimento]],0)</f>
        <v>1</v>
      </c>
      <c r="I76" s="27" cm="1">
        <f t="array" ref="I76">IF(tIngredientes[[#This Row],[Manter stock]]=0,1,IF(_xlfn._xlws.FILTER(tSemanal[Somar a quantidade à lista das receitas],tSemanal[Produto]=tIngredientes[[#This Row],[Mantimento]],"")="X",1,0))</f>
        <v>1</v>
      </c>
      <c r="J7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6" s="9" t="s">
        <v>308</v>
      </c>
      <c r="N76" s="9" t="s">
        <v>126</v>
      </c>
      <c r="O76" s="10"/>
    </row>
    <row r="77" spans="1:15" x14ac:dyDescent="0.2">
      <c r="A77" s="15">
        <f>IF(SUM(H77,J77:L77)=0,"",IF(ISNUMBER(SEARCH("E",E77)),tIngredientes[[#This Row],[Manter stock]]+tIngredientes[[#This Row],[Adicionar stock à lista das receitas]]*(J77+IFERROR(_xlfn.CEILING.MATH(K77/F77)+_xlfn.CEILING.MATH(L77/F77),0)),IF(E77="U",tIngredientes[[#This Row],[Manter stock]]+_xlfn.CEILING.MATH(tIngredientes[[#This Row],[Adicionar stock à lista das receitas]]*K77),IF(E77="M",tIngredientes[[#This Row],[Manter stock]]+tIngredientes[[#This Row],[Adicionar stock à lista das receitas]]*L77&amp;G77,"ERRO"))))</f>
        <v>3</v>
      </c>
      <c r="B77" s="9" t="s">
        <v>53</v>
      </c>
      <c r="C77" s="9" t="s">
        <v>50</v>
      </c>
      <c r="D77" s="9" t="s">
        <v>233</v>
      </c>
      <c r="E77" s="24" t="s">
        <v>243</v>
      </c>
      <c r="F77" s="12"/>
      <c r="G77" s="12"/>
      <c r="H77" s="25" cm="1">
        <f t="array" ref="H77">_xlfn._xlws.FILTER(tSemanal[Q],tSemanal[Produto]=tIngredientes[[#This Row],[Mantimento]],0)</f>
        <v>3</v>
      </c>
      <c r="I77" s="27" cm="1">
        <f t="array" ref="I77">IF(tIngredientes[[#This Row],[Manter stock]]=0,1,IF(_xlfn._xlws.FILTER(tSemanal[Somar a quantidade à lista das receitas],tSemanal[Produto]=tIngredientes[[#This Row],[Mantimento]],"")="X",1,0))</f>
        <v>1</v>
      </c>
      <c r="J7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7" s="9" t="s">
        <v>314</v>
      </c>
      <c r="N77" s="9" t="s">
        <v>126</v>
      </c>
      <c r="O77" s="10"/>
    </row>
    <row r="78" spans="1:15" x14ac:dyDescent="0.2">
      <c r="A78" s="15">
        <f>IF(SUM(H78,J78:L78)=0,"",IF(ISNUMBER(SEARCH("E",E78)),tIngredientes[[#This Row],[Manter stock]]+tIngredientes[[#This Row],[Adicionar stock à lista das receitas]]*(J78+IFERROR(_xlfn.CEILING.MATH(K78/F78)+_xlfn.CEILING.MATH(L78/F78),0)),IF(E78="U",tIngredientes[[#This Row],[Manter stock]]+_xlfn.CEILING.MATH(tIngredientes[[#This Row],[Adicionar stock à lista das receitas]]*K78),IF(E78="M",tIngredientes[[#This Row],[Manter stock]]+tIngredientes[[#This Row],[Adicionar stock à lista das receitas]]*L78&amp;G78,"ERRO"))))</f>
        <v>6</v>
      </c>
      <c r="B78" s="9" t="s">
        <v>93</v>
      </c>
      <c r="C78" s="9" t="s">
        <v>87</v>
      </c>
      <c r="D78" s="9" t="s">
        <v>233</v>
      </c>
      <c r="E78" s="24" t="s">
        <v>234</v>
      </c>
      <c r="F78" s="12">
        <v>1000</v>
      </c>
      <c r="G78" s="12" t="s">
        <v>244</v>
      </c>
      <c r="H78" s="25" cm="1">
        <f t="array" ref="H78">_xlfn._xlws.FILTER(tSemanal[Q],tSemanal[Produto]=tIngredientes[[#This Row],[Mantimento]],0)</f>
        <v>6</v>
      </c>
      <c r="I78" s="27" cm="1">
        <f t="array" ref="I78">IF(tIngredientes[[#This Row],[Manter stock]]=0,1,IF(_xlfn._xlws.FILTER(tSemanal[Somar a quantidade à lista das receitas],tSemanal[Produto]=tIngredientes[[#This Row],[Mantimento]],"")="X",1,0))</f>
        <v>0</v>
      </c>
      <c r="J7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7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800</v>
      </c>
      <c r="M78" s="9" t="s">
        <v>315</v>
      </c>
      <c r="N78" s="9" t="s">
        <v>123</v>
      </c>
      <c r="O78" s="10"/>
    </row>
    <row r="79" spans="1:15" x14ac:dyDescent="0.2">
      <c r="A79" s="15">
        <f>IF(SUM(H79,J79:L79)=0,"",IF(ISNUMBER(SEARCH("E",E79)),tIngredientes[[#This Row],[Manter stock]]+tIngredientes[[#This Row],[Adicionar stock à lista das receitas]]*(J79+IFERROR(_xlfn.CEILING.MATH(K79/F79)+_xlfn.CEILING.MATH(L79/F79),0)),IF(E79="U",tIngredientes[[#This Row],[Manter stock]]+_xlfn.CEILING.MATH(tIngredientes[[#This Row],[Adicionar stock à lista das receitas]]*K79),IF(E79="M",tIngredientes[[#This Row],[Manter stock]]+tIngredientes[[#This Row],[Adicionar stock à lista das receitas]]*L79&amp;G79,"ERRO"))))</f>
        <v>2</v>
      </c>
      <c r="B79" s="9" t="s">
        <v>94</v>
      </c>
      <c r="C79" s="9" t="s">
        <v>87</v>
      </c>
      <c r="D79" s="9" t="s">
        <v>233</v>
      </c>
      <c r="E79" s="24" t="s">
        <v>236</v>
      </c>
      <c r="F79" s="12"/>
      <c r="G79" s="12" t="s">
        <v>237</v>
      </c>
      <c r="H79" s="25" cm="1">
        <f t="array" ref="H79">_xlfn._xlws.FILTER(tSemanal[Q],tSemanal[Produto]=tIngredientes[[#This Row],[Mantimento]],0)</f>
        <v>0</v>
      </c>
      <c r="I79" s="27" cm="1">
        <f t="array" ref="I79">IF(tIngredientes[[#This Row],[Manter stock]]=0,1,IF(_xlfn._xlws.FILTER(tSemanal[Somar a quantidade à lista das receitas],tSemanal[Produto]=tIngredientes[[#This Row],[Mantimento]],"")="X",1,0))</f>
        <v>1</v>
      </c>
      <c r="J7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79" s="42">
        <f>SUMIFS(tPorReceita[Quantidade],tPorReceita[Mantimento],"="&amp;tIngredientes[[#This Row],[Mantimento]],tPorReceita[Data],"&gt;="&amp;iPeriodoDeRefeições,tPorReceita[Data],"&lt;="&amp;fPeriodoDeRefeições,tPorReceita[Medida],"=un")</f>
        <v>2</v>
      </c>
      <c r="L7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79" s="9" t="s">
        <v>316</v>
      </c>
      <c r="N79" s="9" t="s">
        <v>118</v>
      </c>
      <c r="O79" s="10"/>
    </row>
    <row r="80" spans="1:15" x14ac:dyDescent="0.2">
      <c r="A80" s="15" t="str">
        <f>IF(SUM(H80,J80:L80)=0,"",IF(ISNUMBER(SEARCH("E",E80)),tIngredientes[[#This Row],[Manter stock]]+tIngredientes[[#This Row],[Adicionar stock à lista das receitas]]*(J80+IFERROR(_xlfn.CEILING.MATH(K80/F80)+_xlfn.CEILING.MATH(L80/F80),0)),IF(E80="U",tIngredientes[[#This Row],[Manter stock]]+_xlfn.CEILING.MATH(tIngredientes[[#This Row],[Adicionar stock à lista das receitas]]*K80),IF(E80="M",tIngredientes[[#This Row],[Manter stock]]+tIngredientes[[#This Row],[Adicionar stock à lista das receitas]]*L80&amp;G80,"ERRO"))))</f>
        <v/>
      </c>
      <c r="B80" s="9" t="s">
        <v>62</v>
      </c>
      <c r="C80" s="9" t="s">
        <v>59</v>
      </c>
      <c r="D80" s="9" t="s">
        <v>233</v>
      </c>
      <c r="E80" s="24" t="s">
        <v>234</v>
      </c>
      <c r="F80" s="12">
        <v>100</v>
      </c>
      <c r="G80" s="12" t="s">
        <v>235</v>
      </c>
      <c r="H80" s="25" cm="1">
        <f t="array" ref="H80">_xlfn._xlws.FILTER(tSemanal[Q],tSemanal[Produto]=tIngredientes[[#This Row],[Mantimento]],0)</f>
        <v>0</v>
      </c>
      <c r="I80" s="27" cm="1">
        <f t="array" ref="I80">IF(tIngredientes[[#This Row],[Manter stock]]=0,1,IF(_xlfn._xlws.FILTER(tSemanal[Somar a quantidade à lista das receitas],tSemanal[Produto]=tIngredientes[[#This Row],[Mantimento]],"")="X",1,0))</f>
        <v>1</v>
      </c>
      <c r="J8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80" s="9" t="s">
        <v>239</v>
      </c>
      <c r="N80" s="9" t="s">
        <v>126</v>
      </c>
      <c r="O80" s="10"/>
    </row>
    <row r="81" spans="1:18" x14ac:dyDescent="0.2">
      <c r="A81" s="15" t="str">
        <f>IF(SUM(H81,J81:L81)=0,"",IF(ISNUMBER(SEARCH("E",E81)),tIngredientes[[#This Row],[Manter stock]]+tIngredientes[[#This Row],[Adicionar stock à lista das receitas]]*(J81+IFERROR(_xlfn.CEILING.MATH(K81/F81)+_xlfn.CEILING.MATH(L81/F81),0)),IF(E81="U",tIngredientes[[#This Row],[Manter stock]]+_xlfn.CEILING.MATH(tIngredientes[[#This Row],[Adicionar stock à lista das receitas]]*K81),IF(E81="M",tIngredientes[[#This Row],[Manter stock]]+tIngredientes[[#This Row],[Adicionar stock à lista das receitas]]*L81&amp;G81,"ERRO"))))</f>
        <v/>
      </c>
      <c r="B81" s="9" t="s">
        <v>317</v>
      </c>
      <c r="C81" s="9" t="s">
        <v>69</v>
      </c>
      <c r="D81" s="9" t="s">
        <v>233</v>
      </c>
      <c r="E81" s="24" t="s">
        <v>234</v>
      </c>
      <c r="F81" s="12">
        <v>500</v>
      </c>
      <c r="G81" s="12" t="s">
        <v>235</v>
      </c>
      <c r="H81" s="25" cm="1">
        <f t="array" ref="H81">_xlfn._xlws.FILTER(tSemanal[Q],tSemanal[Produto]=tIngredientes[[#This Row],[Mantimento]],0)</f>
        <v>0</v>
      </c>
      <c r="I81" s="27" cm="1">
        <f t="array" ref="I81">IF(tIngredientes[[#This Row],[Manter stock]]=0,1,IF(_xlfn._xlws.FILTER(tSemanal[Somar a quantidade à lista das receitas],tSemanal[Produto]=tIngredientes[[#This Row],[Mantimento]],"")="X",1,0))</f>
        <v>1</v>
      </c>
      <c r="J8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81" s="9" t="s">
        <v>299</v>
      </c>
      <c r="N81" s="9" t="s">
        <v>232</v>
      </c>
      <c r="O81" s="10"/>
    </row>
    <row r="82" spans="1:18" x14ac:dyDescent="0.2">
      <c r="A82" s="15" t="str">
        <f>IF(SUM(H82,J82:L82)=0,"",IF(ISNUMBER(SEARCH("E",E82)),tIngredientes[[#This Row],[Manter stock]]+tIngredientes[[#This Row],[Adicionar stock à lista das receitas]]*(J82+IFERROR(_xlfn.CEILING.MATH(K82/F82)+_xlfn.CEILING.MATH(L82/F82),0)),IF(E82="U",tIngredientes[[#This Row],[Manter stock]]+_xlfn.CEILING.MATH(tIngredientes[[#This Row],[Adicionar stock à lista das receitas]]*K82),IF(E82="M",tIngredientes[[#This Row],[Manter stock]]+tIngredientes[[#This Row],[Adicionar stock à lista das receitas]]*L82&amp;G82,"ERRO"))))</f>
        <v/>
      </c>
      <c r="B82" s="9" t="s">
        <v>318</v>
      </c>
      <c r="C82" s="9" t="s">
        <v>69</v>
      </c>
      <c r="D82" s="9" t="s">
        <v>233</v>
      </c>
      <c r="E82" s="24" t="s">
        <v>234</v>
      </c>
      <c r="F82" s="12">
        <v>500</v>
      </c>
      <c r="G82" s="12" t="s">
        <v>235</v>
      </c>
      <c r="H82" s="25" cm="1">
        <f t="array" ref="H82">_xlfn._xlws.FILTER(tSemanal[Q],tSemanal[Produto]=tIngredientes[[#This Row],[Mantimento]],0)</f>
        <v>0</v>
      </c>
      <c r="I82" s="27" cm="1">
        <f t="array" ref="I82">IF(tIngredientes[[#This Row],[Manter stock]]=0,1,IF(_xlfn._xlws.FILTER(tSemanal[Somar a quantidade à lista das receitas],tSemanal[Produto]=tIngredientes[[#This Row],[Mantimento]],"")="X",1,0))</f>
        <v>1</v>
      </c>
      <c r="J8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82" s="9" t="s">
        <v>299</v>
      </c>
      <c r="N82" s="9" t="s">
        <v>232</v>
      </c>
      <c r="O82" s="10"/>
    </row>
    <row r="83" spans="1:18" x14ac:dyDescent="0.2">
      <c r="A83" s="15" t="str">
        <f>IF(SUM(H83,J83:L83)=0,"",IF(ISNUMBER(SEARCH("E",E83)),tIngredientes[[#This Row],[Manter stock]]+tIngredientes[[#This Row],[Adicionar stock à lista das receitas]]*(J83+IFERROR(_xlfn.CEILING.MATH(K83/F83)+_xlfn.CEILING.MATH(L83/F83),0)),IF(E83="U",tIngredientes[[#This Row],[Manter stock]]+_xlfn.CEILING.MATH(tIngredientes[[#This Row],[Adicionar stock à lista das receitas]]*K83),IF(E83="M",tIngredientes[[#This Row],[Manter stock]]+tIngredientes[[#This Row],[Adicionar stock à lista das receitas]]*L83&amp;G83,"ERRO"))))</f>
        <v/>
      </c>
      <c r="B83" s="9" t="s">
        <v>319</v>
      </c>
      <c r="C83" s="9" t="s">
        <v>84</v>
      </c>
      <c r="D83" s="9" t="s">
        <v>233</v>
      </c>
      <c r="E83" s="24" t="s">
        <v>234</v>
      </c>
      <c r="F83" s="12"/>
      <c r="G83" s="12"/>
      <c r="H83" s="25" cm="1">
        <f t="array" ref="H83">_xlfn._xlws.FILTER(tSemanal[Q],tSemanal[Produto]=tIngredientes[[#This Row],[Mantimento]],0)</f>
        <v>0</v>
      </c>
      <c r="I83" s="27" cm="1">
        <f t="array" ref="I83">IF(tIngredientes[[#This Row],[Manter stock]]=0,1,IF(_xlfn._xlws.FILTER(tSemanal[Somar a quantidade à lista das receitas],tSemanal[Produto]=tIngredientes[[#This Row],[Mantimento]],"")="X",1,0))</f>
        <v>1</v>
      </c>
      <c r="J8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83" s="9" t="s">
        <v>239</v>
      </c>
      <c r="N83" s="9" t="s">
        <v>126</v>
      </c>
      <c r="O83" s="10"/>
    </row>
    <row r="84" spans="1:18" x14ac:dyDescent="0.2">
      <c r="A84" s="15">
        <f>IF(SUM(H84,J84:L84)=0,"",IF(ISNUMBER(SEARCH("E",E84)),tIngredientes[[#This Row],[Manter stock]]+tIngredientes[[#This Row],[Adicionar stock à lista das receitas]]*(J84+IFERROR(_xlfn.CEILING.MATH(K84/F84)+_xlfn.CEILING.MATH(L84/F84),0)),IF(E84="U",tIngredientes[[#This Row],[Manter stock]]+_xlfn.CEILING.MATH(tIngredientes[[#This Row],[Adicionar stock à lista das receitas]]*K84),IF(E84="M",tIngredientes[[#This Row],[Manter stock]]+tIngredientes[[#This Row],[Adicionar stock à lista das receitas]]*L84&amp;G84,"ERRO"))))</f>
        <v>2</v>
      </c>
      <c r="B84" s="9" t="s">
        <v>95</v>
      </c>
      <c r="C84" s="9" t="s">
        <v>87</v>
      </c>
      <c r="D84" s="9" t="s">
        <v>233</v>
      </c>
      <c r="E84" s="24" t="s">
        <v>234</v>
      </c>
      <c r="F84" s="12"/>
      <c r="G84" s="12"/>
      <c r="H84" s="25" cm="1">
        <f t="array" ref="H84">_xlfn._xlws.FILTER(tSemanal[Q],tSemanal[Produto]=tIngredientes[[#This Row],[Mantimento]],0)</f>
        <v>2</v>
      </c>
      <c r="I84" s="27" cm="1">
        <f t="array" ref="I84">IF(tIngredientes[[#This Row],[Manter stock]]=0,1,IF(_xlfn._xlws.FILTER(tSemanal[Somar a quantidade à lista das receitas],tSemanal[Produto]=tIngredientes[[#This Row],[Mantimento]],"")="X",1,0))</f>
        <v>0</v>
      </c>
      <c r="J8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84" s="9" t="s">
        <v>320</v>
      </c>
      <c r="N84" s="9" t="s">
        <v>123</v>
      </c>
      <c r="O84" s="10"/>
    </row>
    <row r="85" spans="1:18" x14ac:dyDescent="0.2">
      <c r="A85" s="15">
        <f>IF(SUM(H85,J85:L85)=0,"",IF(ISNUMBER(SEARCH("E",E85)),tIngredientes[[#This Row],[Manter stock]]+tIngredientes[[#This Row],[Adicionar stock à lista das receitas]]*(J85+IFERROR(_xlfn.CEILING.MATH(K85/F85)+_xlfn.CEILING.MATH(L85/F85),0)),IF(E85="U",tIngredientes[[#This Row],[Manter stock]]+_xlfn.CEILING.MATH(tIngredientes[[#This Row],[Adicionar stock à lista das receitas]]*K85),IF(E85="M",tIngredientes[[#This Row],[Manter stock]]+tIngredientes[[#This Row],[Adicionar stock à lista das receitas]]*L85&amp;G85,"ERRO"))))</f>
        <v>2</v>
      </c>
      <c r="B85" s="9" t="s">
        <v>96</v>
      </c>
      <c r="C85" s="9" t="s">
        <v>87</v>
      </c>
      <c r="D85" s="9" t="s">
        <v>233</v>
      </c>
      <c r="E85" s="24" t="s">
        <v>234</v>
      </c>
      <c r="F85" s="12">
        <v>500</v>
      </c>
      <c r="G85" s="12" t="s">
        <v>235</v>
      </c>
      <c r="H85" s="25" cm="1">
        <f t="array" ref="H85">_xlfn._xlws.FILTER(tSemanal[Q],tSemanal[Produto]=tIngredientes[[#This Row],[Mantimento]],0)</f>
        <v>2</v>
      </c>
      <c r="I85" s="27" cm="1">
        <f t="array" ref="I85">IF(tIngredientes[[#This Row],[Manter stock]]=0,1,IF(_xlfn._xlws.FILTER(tSemanal[Somar a quantidade à lista das receitas],tSemanal[Produto]=tIngredientes[[#This Row],[Mantimento]],"")="X",1,0))</f>
        <v>0</v>
      </c>
      <c r="J8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325</v>
      </c>
      <c r="M85" s="9" t="s">
        <v>321</v>
      </c>
      <c r="N85" s="9" t="s">
        <v>123</v>
      </c>
      <c r="O85" s="10"/>
    </row>
    <row r="86" spans="1:18" x14ac:dyDescent="0.2">
      <c r="A86" s="15">
        <f>IF(SUM(H86,J86:L86)=0,"",IF(ISNUMBER(SEARCH("E",E86)),tIngredientes[[#This Row],[Manter stock]]+tIngredientes[[#This Row],[Adicionar stock à lista das receitas]]*(J86+IFERROR(_xlfn.CEILING.MATH(K86/F86)+_xlfn.CEILING.MATH(L86/F86),0)),IF(E86="U",tIngredientes[[#This Row],[Manter stock]]+_xlfn.CEILING.MATH(tIngredientes[[#This Row],[Adicionar stock à lista das receitas]]*K86),IF(E86="M",tIngredientes[[#This Row],[Manter stock]]+tIngredientes[[#This Row],[Adicionar stock à lista das receitas]]*L86&amp;G86,"ERRO"))))</f>
        <v>1</v>
      </c>
      <c r="B86" s="9" t="s">
        <v>81</v>
      </c>
      <c r="C86" s="9" t="s">
        <v>69</v>
      </c>
      <c r="D86" s="9" t="s">
        <v>233</v>
      </c>
      <c r="E86" s="24" t="s">
        <v>234</v>
      </c>
      <c r="F86" s="12">
        <v>500</v>
      </c>
      <c r="G86" s="12" t="s">
        <v>235</v>
      </c>
      <c r="H86" s="25" cm="1">
        <f t="array" ref="H86">_xlfn._xlws.FILTER(tSemanal[Q],tSemanal[Produto]=tIngredientes[[#This Row],[Mantimento]],0)</f>
        <v>0</v>
      </c>
      <c r="I86" s="27" cm="1">
        <f t="array" ref="I86">IF(tIngredientes[[#This Row],[Manter stock]]=0,1,IF(_xlfn._xlws.FILTER(tSemanal[Somar a quantidade à lista das receitas],tSemanal[Produto]=tIngredientes[[#This Row],[Mantimento]],"")="X",1,0))</f>
        <v>1</v>
      </c>
      <c r="J8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450</v>
      </c>
      <c r="M86" s="9" t="s">
        <v>299</v>
      </c>
      <c r="N86" s="9" t="s">
        <v>232</v>
      </c>
      <c r="O86" s="10"/>
    </row>
    <row r="87" spans="1:18" x14ac:dyDescent="0.2">
      <c r="A87" s="15" t="str">
        <f>IF(SUM(H87,J87:L87)=0,"",IF(ISNUMBER(SEARCH("E",E87)),tIngredientes[[#This Row],[Manter stock]]+tIngredientes[[#This Row],[Adicionar stock à lista das receitas]]*(J87+IFERROR(_xlfn.CEILING.MATH(K87/F87)+_xlfn.CEILING.MATH(L87/F87),0)),IF(E87="U",tIngredientes[[#This Row],[Manter stock]]+_xlfn.CEILING.MATH(tIngredientes[[#This Row],[Adicionar stock à lista das receitas]]*K87),IF(E87="M",tIngredientes[[#This Row],[Manter stock]]+tIngredientes[[#This Row],[Adicionar stock à lista das receitas]]*L87&amp;G87,"ERRO"))))</f>
        <v/>
      </c>
      <c r="B87" s="9" t="s">
        <v>97</v>
      </c>
      <c r="C87" s="9" t="s">
        <v>87</v>
      </c>
      <c r="D87" s="9" t="s">
        <v>233</v>
      </c>
      <c r="E87" s="24" t="s">
        <v>234</v>
      </c>
      <c r="F87" s="12">
        <v>500</v>
      </c>
      <c r="G87" s="12" t="s">
        <v>235</v>
      </c>
      <c r="H87" s="25" cm="1">
        <f t="array" ref="H87">_xlfn._xlws.FILTER(tSemanal[Q],tSemanal[Produto]=tIngredientes[[#This Row],[Mantimento]],0)</f>
        <v>0</v>
      </c>
      <c r="I87" s="27" cm="1">
        <f t="array" ref="I87">IF(tIngredientes[[#This Row],[Manter stock]]=0,1,IF(_xlfn._xlws.FILTER(tSemanal[Somar a quantidade à lista das receitas],tSemanal[Produto]=tIngredientes[[#This Row],[Mantimento]],"")="X",1,0))</f>
        <v>1</v>
      </c>
      <c r="J8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87" s="9" t="s">
        <v>322</v>
      </c>
      <c r="N87" s="9" t="s">
        <v>126</v>
      </c>
      <c r="O87" s="10"/>
    </row>
    <row r="88" spans="1:18" x14ac:dyDescent="0.2">
      <c r="A88" s="15" t="str">
        <f>IF(SUM(H88,J88:L88)=0,"",IF(ISNUMBER(SEARCH("E",E88)),tIngredientes[[#This Row],[Manter stock]]+tIngredientes[[#This Row],[Adicionar stock à lista das receitas]]*(J88+IFERROR(_xlfn.CEILING.MATH(K88/F88)+_xlfn.CEILING.MATH(L88/F88),0)),IF(E88="U",tIngredientes[[#This Row],[Manter stock]]+_xlfn.CEILING.MATH(tIngredientes[[#This Row],[Adicionar stock à lista das receitas]]*K88),IF(E88="M",tIngredientes[[#This Row],[Manter stock]]+tIngredientes[[#This Row],[Adicionar stock à lista das receitas]]*L88&amp;G88,"ERRO"))))</f>
        <v/>
      </c>
      <c r="B88" s="9" t="s">
        <v>323</v>
      </c>
      <c r="C88" s="9" t="s">
        <v>69</v>
      </c>
      <c r="D88" s="9" t="s">
        <v>233</v>
      </c>
      <c r="E88" s="24" t="s">
        <v>234</v>
      </c>
      <c r="F88" s="12">
        <v>500</v>
      </c>
      <c r="G88" s="12" t="s">
        <v>235</v>
      </c>
      <c r="H88" s="25" cm="1">
        <f t="array" ref="H88">_xlfn._xlws.FILTER(tSemanal[Q],tSemanal[Produto]=tIngredientes[[#This Row],[Mantimento]],0)</f>
        <v>0</v>
      </c>
      <c r="I88" s="27" cm="1">
        <f t="array" ref="I88">IF(tIngredientes[[#This Row],[Manter stock]]=0,1,IF(_xlfn._xlws.FILTER(tSemanal[Somar a quantidade à lista das receitas],tSemanal[Produto]=tIngredientes[[#This Row],[Mantimento]],"")="X",1,0))</f>
        <v>1</v>
      </c>
      <c r="J8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88" s="9" t="s">
        <v>299</v>
      </c>
      <c r="N88" s="9" t="s">
        <v>232</v>
      </c>
      <c r="O88" s="10"/>
    </row>
    <row r="89" spans="1:18" x14ac:dyDescent="0.2">
      <c r="A89" s="15" t="str">
        <f>IF(SUM(H89,J89:L89)=0,"",IF(ISNUMBER(SEARCH("E",E89)),tIngredientes[[#This Row],[Manter stock]]+tIngredientes[[#This Row],[Adicionar stock à lista das receitas]]*(J89+IFERROR(_xlfn.CEILING.MATH(K89/F89)+_xlfn.CEILING.MATH(L89/F89),0)),IF(E89="U",tIngredientes[[#This Row],[Manter stock]]+_xlfn.CEILING.MATH(tIngredientes[[#This Row],[Adicionar stock à lista das receitas]]*K89),IF(E89="M",tIngredientes[[#This Row],[Manter stock]]+tIngredientes[[#This Row],[Adicionar stock à lista das receitas]]*L89&amp;G89,"ERRO"))))</f>
        <v/>
      </c>
      <c r="B89" s="9" t="s">
        <v>108</v>
      </c>
      <c r="C89" s="9" t="s">
        <v>101</v>
      </c>
      <c r="D89" s="9" t="s">
        <v>233</v>
      </c>
      <c r="E89" s="24" t="s">
        <v>234</v>
      </c>
      <c r="F89" s="12">
        <v>400</v>
      </c>
      <c r="G89" s="12" t="s">
        <v>235</v>
      </c>
      <c r="H89" s="25" cm="1">
        <f t="array" ref="H89">_xlfn._xlws.FILTER(tSemanal[Q],tSemanal[Produto]=tIngredientes[[#This Row],[Mantimento]],0)</f>
        <v>0</v>
      </c>
      <c r="I89" s="27" cm="1">
        <f t="array" ref="I89">IF(tIngredientes[[#This Row],[Manter stock]]=0,1,IF(_xlfn._xlws.FILTER(tSemanal[Somar a quantidade à lista das receitas],tSemanal[Produto]=tIngredientes[[#This Row],[Mantimento]],"")="X",1,0))</f>
        <v>1</v>
      </c>
      <c r="J8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8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8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89" s="9" t="s">
        <v>307</v>
      </c>
      <c r="N89" s="9" t="s">
        <v>129</v>
      </c>
      <c r="O89" s="10"/>
    </row>
    <row r="90" spans="1:18" x14ac:dyDescent="0.2">
      <c r="A90" s="15">
        <f>IF(SUM(H90,J90:L90)=0,"",IF(ISNUMBER(SEARCH("E",E90)),tIngredientes[[#This Row],[Manter stock]]+tIngredientes[[#This Row],[Adicionar stock à lista das receitas]]*(J90+IFERROR(_xlfn.CEILING.MATH(K90/F90)+_xlfn.CEILING.MATH(L90/F90),0)),IF(E90="U",tIngredientes[[#This Row],[Manter stock]]+_xlfn.CEILING.MATH(tIngredientes[[#This Row],[Adicionar stock à lista das receitas]]*K90),IF(E90="M",tIngredientes[[#This Row],[Manter stock]]+tIngredientes[[#This Row],[Adicionar stock à lista das receitas]]*L90&amp;G90,"ERRO"))))</f>
        <v>1</v>
      </c>
      <c r="B90" s="9" t="s">
        <v>45</v>
      </c>
      <c r="C90" s="9" t="s">
        <v>44</v>
      </c>
      <c r="D90" s="9" t="s">
        <v>233</v>
      </c>
      <c r="E90" s="24" t="s">
        <v>243</v>
      </c>
      <c r="F90" s="12">
        <v>3</v>
      </c>
      <c r="G90" s="12" t="s">
        <v>237</v>
      </c>
      <c r="H90" s="25" cm="1">
        <f t="array" ref="H90">_xlfn._xlws.FILTER(tSemanal[Q],tSemanal[Produto]=tIngredientes[[#This Row],[Mantimento]],0)</f>
        <v>1</v>
      </c>
      <c r="I90" s="27" cm="1">
        <f t="array" ref="I90">IF(tIngredientes[[#This Row],[Manter stock]]=0,1,IF(_xlfn._xlws.FILTER(tSemanal[Somar a quantidade à lista das receitas],tSemanal[Produto]=tIngredientes[[#This Row],[Mantimento]],"")="X",1,0))</f>
        <v>0</v>
      </c>
      <c r="J9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90" s="9" t="s">
        <v>324</v>
      </c>
      <c r="N90" s="9" t="s">
        <v>126</v>
      </c>
      <c r="O90" s="10"/>
      <c r="R90" s="12"/>
    </row>
    <row r="91" spans="1:18" x14ac:dyDescent="0.2">
      <c r="A91" s="15" t="str">
        <f>IF(SUM(H91,J91:L91)=0,"",IF(ISNUMBER(SEARCH("E",E91)),tIngredientes[[#This Row],[Manter stock]]+tIngredientes[[#This Row],[Adicionar stock à lista das receitas]]*(J91+IFERROR(_xlfn.CEILING.MATH(K91/F91)+_xlfn.CEILING.MATH(L91/F91),0)),IF(E91="U",tIngredientes[[#This Row],[Manter stock]]+_xlfn.CEILING.MATH(tIngredientes[[#This Row],[Adicionar stock à lista das receitas]]*K91),IF(E91="M",tIngredientes[[#This Row],[Manter stock]]+tIngredientes[[#This Row],[Adicionar stock à lista das receitas]]*L91&amp;G91,"ERRO"))))</f>
        <v/>
      </c>
      <c r="B91" s="9" t="s">
        <v>109</v>
      </c>
      <c r="C91" s="9" t="s">
        <v>101</v>
      </c>
      <c r="D91" s="9" t="s">
        <v>233</v>
      </c>
      <c r="E91" s="24" t="s">
        <v>234</v>
      </c>
      <c r="F91" s="12">
        <v>200</v>
      </c>
      <c r="G91" s="12" t="s">
        <v>235</v>
      </c>
      <c r="H91" s="25" cm="1">
        <f t="array" ref="H91">_xlfn._xlws.FILTER(tSemanal[Q],tSemanal[Produto]=tIngredientes[[#This Row],[Mantimento]],0)</f>
        <v>0</v>
      </c>
      <c r="I91" s="27" cm="1">
        <f t="array" ref="I91">IF(tIngredientes[[#This Row],[Manter stock]]=0,1,IF(_xlfn._xlws.FILTER(tSemanal[Somar a quantidade à lista das receitas],tSemanal[Produto]=tIngredientes[[#This Row],[Mantimento]],"")="X",1,0))</f>
        <v>1</v>
      </c>
      <c r="J9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91" s="9" t="s">
        <v>325</v>
      </c>
      <c r="N91" s="9" t="s">
        <v>129</v>
      </c>
      <c r="O91" s="10"/>
    </row>
    <row r="92" spans="1:18" x14ac:dyDescent="0.2">
      <c r="A92" s="15">
        <f>IF(SUM(H92,J92:L92)=0,"",IF(ISNUMBER(SEARCH("E",E92)),tIngredientes[[#This Row],[Manter stock]]+tIngredientes[[#This Row],[Adicionar stock à lista das receitas]]*(J92+IFERROR(_xlfn.CEILING.MATH(K92/F92)+_xlfn.CEILING.MATH(L92/F92),0)),IF(E92="U",tIngredientes[[#This Row],[Manter stock]]+_xlfn.CEILING.MATH(tIngredientes[[#This Row],[Adicionar stock à lista das receitas]]*K92),IF(E92="M",tIngredientes[[#This Row],[Manter stock]]+tIngredientes[[#This Row],[Adicionar stock à lista das receitas]]*L92&amp;G92,"ERRO"))))</f>
        <v>1</v>
      </c>
      <c r="B92" s="9" t="s">
        <v>85</v>
      </c>
      <c r="C92" s="9" t="s">
        <v>84</v>
      </c>
      <c r="D92" s="9" t="s">
        <v>233</v>
      </c>
      <c r="E92" s="24" t="s">
        <v>234</v>
      </c>
      <c r="F92" s="12">
        <v>200</v>
      </c>
      <c r="G92" s="12" t="s">
        <v>244</v>
      </c>
      <c r="H92" s="25" cm="1">
        <f t="array" ref="H92">_xlfn._xlws.FILTER(tSemanal[Q],tSemanal[Produto]=tIngredientes[[#This Row],[Mantimento]],0)</f>
        <v>1</v>
      </c>
      <c r="I92" s="27" cm="1">
        <f t="array" ref="I92">IF(tIngredientes[[#This Row],[Manter stock]]=0,1,IF(_xlfn._xlws.FILTER(tSemanal[Somar a quantidade à lista das receitas],tSemanal[Produto]=tIngredientes[[#This Row],[Mantimento]],"")="X",1,0))</f>
        <v>0</v>
      </c>
      <c r="J9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10</v>
      </c>
      <c r="M92" s="9" t="s">
        <v>322</v>
      </c>
      <c r="N92" s="9" t="s">
        <v>126</v>
      </c>
      <c r="O92" s="10"/>
    </row>
    <row r="93" spans="1:18" x14ac:dyDescent="0.2">
      <c r="A93" s="15">
        <f>IF(SUM(H93,J93:L93)=0,"",IF(ISNUMBER(SEARCH("E",E93)),tIngredientes[[#This Row],[Manter stock]]+tIngredientes[[#This Row],[Adicionar stock à lista das receitas]]*(J93+IFERROR(_xlfn.CEILING.MATH(K93/F93)+_xlfn.CEILING.MATH(L93/F93),0)),IF(E93="U",tIngredientes[[#This Row],[Manter stock]]+_xlfn.CEILING.MATH(tIngredientes[[#This Row],[Adicionar stock à lista das receitas]]*K93),IF(E93="M",tIngredientes[[#This Row],[Manter stock]]+tIngredientes[[#This Row],[Adicionar stock à lista das receitas]]*L93&amp;G93,"ERRO"))))</f>
        <v>1</v>
      </c>
      <c r="B93" s="9" t="s">
        <v>326</v>
      </c>
      <c r="C93" s="9" t="s">
        <v>84</v>
      </c>
      <c r="D93" s="9" t="s">
        <v>233</v>
      </c>
      <c r="E93" s="24" t="s">
        <v>234</v>
      </c>
      <c r="F93" s="12">
        <v>200</v>
      </c>
      <c r="G93" s="12" t="s">
        <v>244</v>
      </c>
      <c r="H93" s="25" cm="1">
        <f t="array" ref="H93">_xlfn._xlws.FILTER(tSemanal[Q],tSemanal[Produto]=tIngredientes[[#This Row],[Mantimento]],0)</f>
        <v>0</v>
      </c>
      <c r="I93" s="27" cm="1">
        <f t="array" ref="I93">IF(tIngredientes[[#This Row],[Manter stock]]=0,1,IF(_xlfn._xlws.FILTER(tSemanal[Somar a quantidade à lista das receitas],tSemanal[Produto]=tIngredientes[[#This Row],[Mantimento]],"")="X",1,0))</f>
        <v>1</v>
      </c>
      <c r="J9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10</v>
      </c>
      <c r="M93" s="9" t="s">
        <v>322</v>
      </c>
      <c r="N93" s="9" t="s">
        <v>126</v>
      </c>
      <c r="O93" s="10"/>
      <c r="Q93" s="12"/>
      <c r="R93" s="12"/>
    </row>
    <row r="94" spans="1:18" x14ac:dyDescent="0.2">
      <c r="A94" s="15" t="str">
        <f>IF(SUM(H94,J94:L94)=0,"",IF(ISNUMBER(SEARCH("E",E94)),tIngredientes[[#This Row],[Manter stock]]+tIngredientes[[#This Row],[Adicionar stock à lista das receitas]]*(J94+IFERROR(_xlfn.CEILING.MATH(K94/F94)+_xlfn.CEILING.MATH(L94/F94),0)),IF(E94="U",tIngredientes[[#This Row],[Manter stock]]+_xlfn.CEILING.MATH(tIngredientes[[#This Row],[Adicionar stock à lista das receitas]]*K94),IF(E94="M",tIngredientes[[#This Row],[Manter stock]]+tIngredientes[[#This Row],[Adicionar stock à lista das receitas]]*L94&amp;G94,"ERRO"))))</f>
        <v/>
      </c>
      <c r="B94" s="9" t="s">
        <v>127</v>
      </c>
      <c r="C94" s="9" t="s">
        <v>50</v>
      </c>
      <c r="D94" s="9" t="s">
        <v>233</v>
      </c>
      <c r="E94" s="24" t="s">
        <v>234</v>
      </c>
      <c r="F94" s="12">
        <v>250</v>
      </c>
      <c r="G94" s="12" t="s">
        <v>235</v>
      </c>
      <c r="H94" s="25" cm="1">
        <f t="array" ref="H94">_xlfn._xlws.FILTER(tSemanal[Q],tSemanal[Produto]=tIngredientes[[#This Row],[Mantimento]],0)</f>
        <v>0</v>
      </c>
      <c r="I94" s="27" cm="1">
        <f t="array" ref="I94">IF(tIngredientes[[#This Row],[Manter stock]]=0,1,IF(_xlfn._xlws.FILTER(tSemanal[Somar a quantidade à lista das receitas],tSemanal[Produto]=tIngredientes[[#This Row],[Mantimento]],"")="X",1,0))</f>
        <v>1</v>
      </c>
      <c r="J9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94" s="9" t="s">
        <v>327</v>
      </c>
      <c r="N94" s="9" t="s">
        <v>126</v>
      </c>
      <c r="O94" s="10"/>
    </row>
    <row r="95" spans="1:18" x14ac:dyDescent="0.2">
      <c r="A95" s="15">
        <f>IF(SUM(H95,J95:L95)=0,"",IF(ISNUMBER(SEARCH("E",E95)),tIngredientes[[#This Row],[Manter stock]]+tIngredientes[[#This Row],[Adicionar stock à lista das receitas]]*(J95+IFERROR(_xlfn.CEILING.MATH(K95/F95)+_xlfn.CEILING.MATH(L95/F95),0)),IF(E95="U",tIngredientes[[#This Row],[Manter stock]]+_xlfn.CEILING.MATH(tIngredientes[[#This Row],[Adicionar stock à lista das receitas]]*K95),IF(E95="M",tIngredientes[[#This Row],[Manter stock]]+tIngredientes[[#This Row],[Adicionar stock à lista das receitas]]*L95&amp;G95,"ERRO"))))</f>
        <v>3</v>
      </c>
      <c r="B95" s="9" t="s">
        <v>54</v>
      </c>
      <c r="C95" s="9" t="s">
        <v>50</v>
      </c>
      <c r="D95" s="9" t="s">
        <v>233</v>
      </c>
      <c r="E95" s="24" t="s">
        <v>234</v>
      </c>
      <c r="F95" s="12">
        <v>200</v>
      </c>
      <c r="G95" s="12" t="s">
        <v>244</v>
      </c>
      <c r="H95" s="25" cm="1">
        <f t="array" ref="H95">_xlfn._xlws.FILTER(tSemanal[Q],tSemanal[Produto]=tIngredientes[[#This Row],[Mantimento]],0)</f>
        <v>2</v>
      </c>
      <c r="I95" s="27" cm="1">
        <f t="array" ref="I95">IF(tIngredientes[[#This Row],[Manter stock]]=0,1,IF(_xlfn._xlws.FILTER(tSemanal[Somar a quantidade à lista das receitas],tSemanal[Produto]=tIngredientes[[#This Row],[Mantimento]],"")="X",1,0))</f>
        <v>1</v>
      </c>
      <c r="J9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200</v>
      </c>
      <c r="M95" s="9" t="s">
        <v>328</v>
      </c>
      <c r="N95" s="9" t="s">
        <v>123</v>
      </c>
      <c r="O95" s="10"/>
    </row>
    <row r="96" spans="1:18" x14ac:dyDescent="0.2">
      <c r="A96" s="15" t="str">
        <f>IF(SUM(H96,J96:L96)=0,"",IF(ISNUMBER(SEARCH("E",E96)),tIngredientes[[#This Row],[Manter stock]]+tIngredientes[[#This Row],[Adicionar stock à lista das receitas]]*(J96+IFERROR(_xlfn.CEILING.MATH(K96/F96)+_xlfn.CEILING.MATH(L96/F96),0)),IF(E96="U",tIngredientes[[#This Row],[Manter stock]]+_xlfn.CEILING.MATH(tIngredientes[[#This Row],[Adicionar stock à lista das receitas]]*K96),IF(E96="M",tIngredientes[[#This Row],[Manter stock]]+tIngredientes[[#This Row],[Adicionar stock à lista das receitas]]*L96&amp;G96,"ERRO"))))</f>
        <v/>
      </c>
      <c r="B96" s="9" t="s">
        <v>145</v>
      </c>
      <c r="C96" s="9" t="s">
        <v>50</v>
      </c>
      <c r="D96" s="9" t="s">
        <v>233</v>
      </c>
      <c r="E96" s="24" t="s">
        <v>234</v>
      </c>
      <c r="F96" s="12">
        <v>1000</v>
      </c>
      <c r="G96" s="12" t="s">
        <v>235</v>
      </c>
      <c r="H96" s="25" cm="1">
        <f t="array" ref="H96">_xlfn._xlws.FILTER(tSemanal[Q],tSemanal[Produto]=tIngredientes[[#This Row],[Mantimento]],0)</f>
        <v>0</v>
      </c>
      <c r="I96" s="27" cm="1">
        <f t="array" ref="I96">IF(tIngredientes[[#This Row],[Manter stock]]=0,1,IF(_xlfn._xlws.FILTER(tSemanal[Somar a quantidade à lista das receitas],tSemanal[Produto]=tIngredientes[[#This Row],[Mantimento]],"")="X",1,0))</f>
        <v>1</v>
      </c>
      <c r="J9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96" s="9" t="s">
        <v>280</v>
      </c>
      <c r="N96" s="9" t="s">
        <v>247</v>
      </c>
      <c r="O96" s="10"/>
      <c r="Q96" s="12"/>
    </row>
    <row r="97" spans="1:21" x14ac:dyDescent="0.2">
      <c r="A97" s="15" t="str">
        <f>IF(SUM(H97,J97:L97)=0,"",IF(ISNUMBER(SEARCH("E",E97)),tIngredientes[[#This Row],[Manter stock]]+tIngredientes[[#This Row],[Adicionar stock à lista das receitas]]*(J97+IFERROR(_xlfn.CEILING.MATH(K97/F97)+_xlfn.CEILING.MATH(L97/F97),0)),IF(E97="U",tIngredientes[[#This Row],[Manter stock]]+_xlfn.CEILING.MATH(tIngredientes[[#This Row],[Adicionar stock à lista das receitas]]*K97),IF(E97="M",tIngredientes[[#This Row],[Manter stock]]+tIngredientes[[#This Row],[Adicionar stock à lista das receitas]]*L97&amp;G97,"ERRO"))))</f>
        <v/>
      </c>
      <c r="B97" s="9" t="s">
        <v>329</v>
      </c>
      <c r="C97" s="9" t="s">
        <v>84</v>
      </c>
      <c r="D97" s="9" t="s">
        <v>233</v>
      </c>
      <c r="E97" s="24" t="s">
        <v>234</v>
      </c>
      <c r="F97" s="12"/>
      <c r="G97" s="12"/>
      <c r="H97" s="25" cm="1">
        <f t="array" ref="H97">_xlfn._xlws.FILTER(tSemanal[Q],tSemanal[Produto]=tIngredientes[[#This Row],[Mantimento]],0)</f>
        <v>0</v>
      </c>
      <c r="I97" s="27" cm="1">
        <f t="array" ref="I97">IF(tIngredientes[[#This Row],[Manter stock]]=0,1,IF(_xlfn._xlws.FILTER(tSemanal[Somar a quantidade à lista das receitas],tSemanal[Produto]=tIngredientes[[#This Row],[Mantimento]],"")="X",1,0))</f>
        <v>1</v>
      </c>
      <c r="J9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97" s="9" t="s">
        <v>239</v>
      </c>
      <c r="N97" s="9" t="s">
        <v>126</v>
      </c>
      <c r="O97" s="10"/>
      <c r="U97" s="12"/>
    </row>
    <row r="98" spans="1:21" s="12" customFormat="1" x14ac:dyDescent="0.2">
      <c r="A98" s="15" t="str">
        <f>IF(SUM(H98,J98:L98)=0,"",IF(ISNUMBER(SEARCH("E",E98)),tIngredientes[[#This Row],[Manter stock]]+tIngredientes[[#This Row],[Adicionar stock à lista das receitas]]*(J98+IFERROR(_xlfn.CEILING.MATH(K98/F98)+_xlfn.CEILING.MATH(L98/F98),0)),IF(E98="U",tIngredientes[[#This Row],[Manter stock]]+_xlfn.CEILING.MATH(tIngredientes[[#This Row],[Adicionar stock à lista das receitas]]*K98),IF(E98="M",tIngredientes[[#This Row],[Manter stock]]+tIngredientes[[#This Row],[Adicionar stock à lista das receitas]]*L98&amp;G98,"ERRO"))))</f>
        <v/>
      </c>
      <c r="B98" s="9" t="s">
        <v>330</v>
      </c>
      <c r="C98" s="9" t="s">
        <v>59</v>
      </c>
      <c r="D98" s="9" t="s">
        <v>233</v>
      </c>
      <c r="E98" s="24" t="s">
        <v>234</v>
      </c>
      <c r="H98" s="25" cm="1">
        <f t="array" ref="H98">_xlfn._xlws.FILTER(tSemanal[Q],tSemanal[Produto]=tIngredientes[[#This Row],[Mantimento]],0)</f>
        <v>0</v>
      </c>
      <c r="I98" s="27" cm="1">
        <f t="array" ref="I98">IF(tIngredientes[[#This Row],[Manter stock]]=0,1,IF(_xlfn._xlws.FILTER(tSemanal[Somar a quantidade à lista das receitas],tSemanal[Produto]=tIngredientes[[#This Row],[Mantimento]],"")="X",1,0))</f>
        <v>1</v>
      </c>
      <c r="J9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98" s="9" t="s">
        <v>239</v>
      </c>
      <c r="N98" s="9" t="s">
        <v>126</v>
      </c>
      <c r="Q98" s="10"/>
      <c r="R98" s="10"/>
      <c r="U98" s="10"/>
    </row>
    <row r="99" spans="1:21" x14ac:dyDescent="0.2">
      <c r="A99" s="15">
        <f>IF(SUM(H99,J99:L99)=0,"",IF(ISNUMBER(SEARCH("E",E99)),tIngredientes[[#This Row],[Manter stock]]+tIngredientes[[#This Row],[Adicionar stock à lista das receitas]]*(J99+IFERROR(_xlfn.CEILING.MATH(K99/F99)+_xlfn.CEILING.MATH(L99/F99),0)),IF(E99="U",tIngredientes[[#This Row],[Manter stock]]+_xlfn.CEILING.MATH(tIngredientes[[#This Row],[Adicionar stock à lista das receitas]]*K99),IF(E99="M",tIngredientes[[#This Row],[Manter stock]]+tIngredientes[[#This Row],[Adicionar stock à lista das receitas]]*L99&amp;G99,"ERRO"))))</f>
        <v>2</v>
      </c>
      <c r="B99" s="9" t="s">
        <v>20</v>
      </c>
      <c r="C99" s="9" t="s">
        <v>87</v>
      </c>
      <c r="D99" s="9" t="s">
        <v>233</v>
      </c>
      <c r="E99" s="24" t="s">
        <v>243</v>
      </c>
      <c r="F99" s="12">
        <v>6</v>
      </c>
      <c r="G99" s="12" t="s">
        <v>237</v>
      </c>
      <c r="H99" s="25" cm="1">
        <f t="array" ref="H99">_xlfn._xlws.FILTER(tSemanal[Q],tSemanal[Produto]=tIngredientes[[#This Row],[Mantimento]],0)</f>
        <v>2</v>
      </c>
      <c r="I99" s="27" cm="1">
        <f t="array" ref="I99">IF(tIngredientes[[#This Row],[Manter stock]]=0,1,IF(_xlfn._xlws.FILTER(tSemanal[Somar a quantidade à lista das receitas],tSemanal[Produto]=tIngredientes[[#This Row],[Mantimento]],"")="X",1,0))</f>
        <v>1</v>
      </c>
      <c r="J9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9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9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99" s="9" t="s">
        <v>331</v>
      </c>
      <c r="N99" s="9" t="s">
        <v>123</v>
      </c>
      <c r="O99" s="10"/>
    </row>
    <row r="100" spans="1:21" x14ac:dyDescent="0.2">
      <c r="A100" s="15" t="str">
        <f>IF(SUM(H100,J100:L100)=0,"",IF(ISNUMBER(SEARCH("E",E100)),tIngredientes[[#This Row],[Manter stock]]+tIngredientes[[#This Row],[Adicionar stock à lista das receitas]]*(J100+IFERROR(_xlfn.CEILING.MATH(K100/F100)+_xlfn.CEILING.MATH(L100/F100),0)),IF(E100="U",tIngredientes[[#This Row],[Manter stock]]+_xlfn.CEILING.MATH(tIngredientes[[#This Row],[Adicionar stock à lista das receitas]]*K100),IF(E100="M",tIngredientes[[#This Row],[Manter stock]]+tIngredientes[[#This Row],[Adicionar stock à lista das receitas]]*L100&amp;G100,"ERRO"))))</f>
        <v/>
      </c>
      <c r="B100" s="9" t="s">
        <v>332</v>
      </c>
      <c r="C100" s="9" t="s">
        <v>50</v>
      </c>
      <c r="D100" s="9" t="s">
        <v>233</v>
      </c>
      <c r="E100" s="24" t="s">
        <v>234</v>
      </c>
      <c r="F100" s="12"/>
      <c r="G100" s="12"/>
      <c r="H100" s="25" cm="1">
        <f t="array" ref="H100">_xlfn._xlws.FILTER(tSemanal[Q],tSemanal[Produto]=tIngredientes[[#This Row],[Mantimento]],0)</f>
        <v>0</v>
      </c>
      <c r="I100" s="27" cm="1">
        <f t="array" ref="I100">IF(tIngredientes[[#This Row],[Manter stock]]=0,1,IF(_xlfn._xlws.FILTER(tSemanal[Somar a quantidade à lista das receitas],tSemanal[Produto]=tIngredientes[[#This Row],[Mantimento]],"")="X",1,0))</f>
        <v>1</v>
      </c>
      <c r="J10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0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0" s="9" t="s">
        <v>302</v>
      </c>
      <c r="N100" s="9" t="s">
        <v>252</v>
      </c>
      <c r="O100" s="10"/>
      <c r="U100" s="12"/>
    </row>
    <row r="101" spans="1:21" s="12" customFormat="1" x14ac:dyDescent="0.2">
      <c r="A101" s="15">
        <f>IF(SUM(H101,J101:L101)=0,"",IF(ISNUMBER(SEARCH("E",E101)),tIngredientes[[#This Row],[Manter stock]]+tIngredientes[[#This Row],[Adicionar stock à lista das receitas]]*(J101+IFERROR(_xlfn.CEILING.MATH(K101/F101)+_xlfn.CEILING.MATH(L101/F101),0)),IF(E101="U",tIngredientes[[#This Row],[Manter stock]]+_xlfn.CEILING.MATH(tIngredientes[[#This Row],[Adicionar stock à lista das receitas]]*K101),IF(E101="M",tIngredientes[[#This Row],[Manter stock]]+tIngredientes[[#This Row],[Adicionar stock à lista das receitas]]*L101&amp;G101,"ERRO"))))</f>
        <v>1</v>
      </c>
      <c r="B101" s="9" t="s">
        <v>40</v>
      </c>
      <c r="C101" s="9" t="s">
        <v>36</v>
      </c>
      <c r="D101" s="9" t="s">
        <v>233</v>
      </c>
      <c r="E101" s="24" t="s">
        <v>234</v>
      </c>
      <c r="F101" s="12">
        <v>1</v>
      </c>
      <c r="H101" s="25" cm="1">
        <f t="array" ref="H101">_xlfn._xlws.FILTER(tSemanal[Q],tSemanal[Produto]=tIngredientes[[#This Row],[Mantimento]],0)</f>
        <v>1</v>
      </c>
      <c r="I101" s="27" cm="1">
        <f t="array" ref="I101">IF(tIngredientes[[#This Row],[Manter stock]]=0,1,IF(_xlfn._xlws.FILTER(tSemanal[Somar a quantidade à lista das receitas],tSemanal[Produto]=tIngredientes[[#This Row],[Mantimento]],"")="X",1,0))</f>
        <v>1</v>
      </c>
      <c r="J10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0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1" s="9" t="s">
        <v>333</v>
      </c>
      <c r="N101" s="9" t="s">
        <v>124</v>
      </c>
      <c r="Q101" s="10"/>
      <c r="R101" s="10"/>
      <c r="U101" s="10"/>
    </row>
    <row r="102" spans="1:21" x14ac:dyDescent="0.2">
      <c r="A102" s="15" t="str">
        <f>IF(SUM(H102,J102:L102)=0,"",IF(ISNUMBER(SEARCH("E",E102)),tIngredientes[[#This Row],[Manter stock]]+tIngredientes[[#This Row],[Adicionar stock à lista das receitas]]*(J102+IFERROR(_xlfn.CEILING.MATH(K102/F102)+_xlfn.CEILING.MATH(L102/F102),0)),IF(E102="U",tIngredientes[[#This Row],[Manter stock]]+_xlfn.CEILING.MATH(tIngredientes[[#This Row],[Adicionar stock à lista das receitas]]*K102),IF(E102="M",tIngredientes[[#This Row],[Manter stock]]+tIngredientes[[#This Row],[Adicionar stock à lista das receitas]]*L102&amp;G102,"ERRO"))))</f>
        <v/>
      </c>
      <c r="B102" s="9" t="s">
        <v>55</v>
      </c>
      <c r="C102" s="9" t="s">
        <v>50</v>
      </c>
      <c r="D102" s="9" t="s">
        <v>233</v>
      </c>
      <c r="E102" s="24" t="s">
        <v>243</v>
      </c>
      <c r="F102" s="12">
        <v>5</v>
      </c>
      <c r="G102" s="12" t="s">
        <v>237</v>
      </c>
      <c r="H102" s="25" cm="1">
        <f t="array" ref="H102">_xlfn._xlws.FILTER(tSemanal[Q],tSemanal[Produto]=tIngredientes[[#This Row],[Mantimento]],0)</f>
        <v>0</v>
      </c>
      <c r="I102" s="27" cm="1">
        <f t="array" ref="I102">IF(tIngredientes[[#This Row],[Manter stock]]=0,1,IF(_xlfn._xlws.FILTER(tSemanal[Somar a quantidade à lista das receitas],tSemanal[Produto]=tIngredientes[[#This Row],[Mantimento]],"")="X",1,0))</f>
        <v>1</v>
      </c>
      <c r="J10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0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2" s="9" t="s">
        <v>239</v>
      </c>
      <c r="N102" s="9" t="s">
        <v>126</v>
      </c>
      <c r="O102" s="10"/>
    </row>
    <row r="103" spans="1:21" x14ac:dyDescent="0.2">
      <c r="A103" s="15">
        <f>IF(SUM(H103,J103:L103)=0,"",IF(ISNUMBER(SEARCH("E",E103)),tIngredientes[[#This Row],[Manter stock]]+tIngredientes[[#This Row],[Adicionar stock à lista das receitas]]*(J103+IFERROR(_xlfn.CEILING.MATH(K103/F103)+_xlfn.CEILING.MATH(L103/F103),0)),IF(E103="U",tIngredientes[[#This Row],[Manter stock]]+_xlfn.CEILING.MATH(tIngredientes[[#This Row],[Adicionar stock à lista das receitas]]*K103),IF(E103="M",tIngredientes[[#This Row],[Manter stock]]+tIngredientes[[#This Row],[Adicionar stock à lista das receitas]]*L103&amp;G103,"ERRO"))))</f>
        <v>2</v>
      </c>
      <c r="B103" s="9" t="s">
        <v>41</v>
      </c>
      <c r="C103" s="9" t="s">
        <v>36</v>
      </c>
      <c r="D103" s="9" t="s">
        <v>233</v>
      </c>
      <c r="E103" s="24" t="s">
        <v>236</v>
      </c>
      <c r="F103" s="12">
        <v>1</v>
      </c>
      <c r="G103" s="12" t="s">
        <v>237</v>
      </c>
      <c r="H103" s="25" cm="1">
        <f t="array" ref="H103">_xlfn._xlws.FILTER(tSemanal[Q],tSemanal[Produto]=tIngredientes[[#This Row],[Mantimento]],0)</f>
        <v>2</v>
      </c>
      <c r="I103" s="27" cm="1">
        <f t="array" ref="I103">IF(tIngredientes[[#This Row],[Manter stock]]=0,1,IF(_xlfn._xlws.FILTER(tSemanal[Somar a quantidade à lista das receitas],tSemanal[Produto]=tIngredientes[[#This Row],[Mantimento]],"")="X",1,0))</f>
        <v>1</v>
      </c>
      <c r="J10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0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3" s="9" t="s">
        <v>334</v>
      </c>
      <c r="N103" s="9" t="s">
        <v>241</v>
      </c>
      <c r="O103" s="10"/>
    </row>
    <row r="104" spans="1:21" x14ac:dyDescent="0.2">
      <c r="A104" s="15">
        <f>IF(SUM(H104,J104:L104)=0,"",IF(ISNUMBER(SEARCH("E",E104)),tIngredientes[[#This Row],[Manter stock]]+tIngredientes[[#This Row],[Adicionar stock à lista das receitas]]*(J104+IFERROR(_xlfn.CEILING.MATH(K104/F104)+_xlfn.CEILING.MATH(L104/F104),0)),IF(E104="U",tIngredientes[[#This Row],[Manter stock]]+_xlfn.CEILING.MATH(tIngredientes[[#This Row],[Adicionar stock à lista das receitas]]*K104),IF(E104="M",tIngredientes[[#This Row],[Manter stock]]+tIngredientes[[#This Row],[Adicionar stock à lista das receitas]]*L104&amp;G104,"ERRO"))))</f>
        <v>3</v>
      </c>
      <c r="B104" s="9" t="s">
        <v>335</v>
      </c>
      <c r="C104" s="9" t="s">
        <v>101</v>
      </c>
      <c r="D104" s="9" t="s">
        <v>135</v>
      </c>
      <c r="E104" s="24" t="s">
        <v>236</v>
      </c>
      <c r="F104" s="12"/>
      <c r="G104" s="12" t="s">
        <v>237</v>
      </c>
      <c r="H104" s="25" cm="1">
        <f t="array" ref="H104">_xlfn._xlws.FILTER(tSemanal[Q],tSemanal[Produto]=tIngredientes[[#This Row],[Mantimento]],0)</f>
        <v>0</v>
      </c>
      <c r="I104" s="27" cm="1">
        <f t="array" ref="I104">IF(tIngredientes[[#This Row],[Manter stock]]=0,1,IF(_xlfn._xlws.FILTER(tSemanal[Somar a quantidade à lista das receitas],tSemanal[Produto]=tIngredientes[[#This Row],[Mantimento]],"")="X",1,0))</f>
        <v>1</v>
      </c>
      <c r="J10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4" s="42">
        <f>SUMIFS(tPorReceita[Quantidade],tPorReceita[Mantimento],"="&amp;tIngredientes[[#This Row],[Mantimento]],tPorReceita[Data],"&gt;="&amp;iPeriodoDeRefeições,tPorReceita[Data],"&lt;="&amp;fPeriodoDeRefeições,tPorReceita[Medida],"=un")</f>
        <v>3</v>
      </c>
      <c r="L10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4" s="9" t="s">
        <v>268</v>
      </c>
      <c r="N104" s="9" t="s">
        <v>135</v>
      </c>
      <c r="O104" s="10"/>
    </row>
    <row r="105" spans="1:21" x14ac:dyDescent="0.2">
      <c r="A105" s="15" t="str">
        <f>IF(SUM(H105,J105:L105)=0,"",IF(ISNUMBER(SEARCH("E",E105)),tIngredientes[[#This Row],[Manter stock]]+tIngredientes[[#This Row],[Adicionar stock à lista das receitas]]*(J105+IFERROR(_xlfn.CEILING.MATH(K105/F105)+_xlfn.CEILING.MATH(L105/F105),0)),IF(E105="U",tIngredientes[[#This Row],[Manter stock]]+_xlfn.CEILING.MATH(tIngredientes[[#This Row],[Adicionar stock à lista das receitas]]*K105),IF(E105="M",tIngredientes[[#This Row],[Manter stock]]+tIngredientes[[#This Row],[Adicionar stock à lista das receitas]]*L105&amp;G105,"ERRO"))))</f>
        <v/>
      </c>
      <c r="B105" s="9" t="s">
        <v>336</v>
      </c>
      <c r="C105" s="9" t="s">
        <v>101</v>
      </c>
      <c r="D105" s="9" t="s">
        <v>233</v>
      </c>
      <c r="E105" s="24" t="s">
        <v>236</v>
      </c>
      <c r="F105" s="12"/>
      <c r="G105" s="12" t="s">
        <v>237</v>
      </c>
      <c r="H105" s="25" cm="1">
        <f t="array" ref="H105">_xlfn._xlws.FILTER(tSemanal[Q],tSemanal[Produto]=tIngredientes[[#This Row],[Mantimento]],0)</f>
        <v>0</v>
      </c>
      <c r="I105" s="27" cm="1">
        <f t="array" ref="I105">IF(tIngredientes[[#This Row],[Manter stock]]=0,1,IF(_xlfn._xlws.FILTER(tSemanal[Somar a quantidade à lista das receitas],tSemanal[Produto]=tIngredientes[[#This Row],[Mantimento]],"")="X",1,0))</f>
        <v>1</v>
      </c>
      <c r="J10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0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5" s="9" t="s">
        <v>337</v>
      </c>
      <c r="N105" s="9" t="s">
        <v>129</v>
      </c>
      <c r="O105" s="10"/>
    </row>
    <row r="106" spans="1:21" x14ac:dyDescent="0.2">
      <c r="A106" s="15" t="str">
        <f>IF(SUM(H106,J106:L106)=0,"",IF(ISNUMBER(SEARCH("E",E106)),tIngredientes[[#This Row],[Manter stock]]+tIngredientes[[#This Row],[Adicionar stock à lista das receitas]]*(J106+IFERROR(_xlfn.CEILING.MATH(K106/F106)+_xlfn.CEILING.MATH(L106/F106),0)),IF(E106="U",tIngredientes[[#This Row],[Manter stock]]+_xlfn.CEILING.MATH(tIngredientes[[#This Row],[Adicionar stock à lista das receitas]]*K106),IF(E106="M",tIngredientes[[#This Row],[Manter stock]]+tIngredientes[[#This Row],[Adicionar stock à lista das receitas]]*L106&amp;G106,"ERRO"))))</f>
        <v/>
      </c>
      <c r="B106" s="9" t="s">
        <v>146</v>
      </c>
      <c r="C106" s="9" t="s">
        <v>87</v>
      </c>
      <c r="D106" s="9" t="s">
        <v>233</v>
      </c>
      <c r="E106" s="24" t="s">
        <v>236</v>
      </c>
      <c r="F106" s="12">
        <v>1</v>
      </c>
      <c r="G106" s="12" t="s">
        <v>237</v>
      </c>
      <c r="H106" s="25" cm="1">
        <f t="array" ref="H106">_xlfn._xlws.FILTER(tSemanal[Q],tSemanal[Produto]=tIngredientes[[#This Row],[Mantimento]],0)</f>
        <v>0</v>
      </c>
      <c r="I106" s="27" cm="1">
        <f t="array" ref="I106">IF(tIngredientes[[#This Row],[Manter stock]]=0,1,IF(_xlfn._xlws.FILTER(tSemanal[Somar a quantidade à lista das receitas],tSemanal[Produto]=tIngredientes[[#This Row],[Mantimento]],"")="X",1,0))</f>
        <v>1</v>
      </c>
      <c r="J10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0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6" s="9" t="s">
        <v>242</v>
      </c>
      <c r="N106" s="9" t="s">
        <v>118</v>
      </c>
      <c r="O106" s="10"/>
    </row>
    <row r="107" spans="1:21" x14ac:dyDescent="0.2">
      <c r="A107" s="15" t="str">
        <f>IF(SUM(H107,J107:L107)=0,"",IF(ISNUMBER(SEARCH("E",E107)),tIngredientes[[#This Row],[Manter stock]]+tIngredientes[[#This Row],[Adicionar stock à lista das receitas]]*(J107+IFERROR(_xlfn.CEILING.MATH(K107/F107)+_xlfn.CEILING.MATH(L107/F107),0)),IF(E107="U",tIngredientes[[#This Row],[Manter stock]]+_xlfn.CEILING.MATH(tIngredientes[[#This Row],[Adicionar stock à lista das receitas]]*K107),IF(E107="M",tIngredientes[[#This Row],[Manter stock]]+tIngredientes[[#This Row],[Adicionar stock à lista das receitas]]*L107&amp;G107,"ERRO"))))</f>
        <v>50g</v>
      </c>
      <c r="B107" s="9" t="s">
        <v>338</v>
      </c>
      <c r="C107" s="9" t="s">
        <v>87</v>
      </c>
      <c r="D107" s="9" t="s">
        <v>233</v>
      </c>
      <c r="E107" s="24" t="s">
        <v>240</v>
      </c>
      <c r="F107" s="12"/>
      <c r="G107" s="12" t="s">
        <v>235</v>
      </c>
      <c r="H107" s="25" cm="1">
        <f t="array" ref="H107">_xlfn._xlws.FILTER(tSemanal[Q],tSemanal[Produto]=tIngredientes[[#This Row],[Mantimento]],0)</f>
        <v>0</v>
      </c>
      <c r="I107" s="27" cm="1">
        <f t="array" ref="I107">IF(tIngredientes[[#This Row],[Manter stock]]=0,1,IF(_xlfn._xlws.FILTER(tSemanal[Somar a quantidade à lista das receitas],tSemanal[Produto]=tIngredientes[[#This Row],[Mantimento]],"")="X",1,0))</f>
        <v>1</v>
      </c>
      <c r="J10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0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50</v>
      </c>
      <c r="M107" s="9" t="s">
        <v>339</v>
      </c>
      <c r="N107" s="9" t="s">
        <v>116</v>
      </c>
      <c r="O107" s="10"/>
    </row>
    <row r="108" spans="1:21" x14ac:dyDescent="0.2">
      <c r="A108" s="15">
        <f>IF(SUM(H108,J108:L108)=0,"",IF(ISNUMBER(SEARCH("E",E108)),tIngredientes[[#This Row],[Manter stock]]+tIngredientes[[#This Row],[Adicionar stock à lista das receitas]]*(J108+IFERROR(_xlfn.CEILING.MATH(K108/F108)+_xlfn.CEILING.MATH(L108/F108),0)),IF(E108="U",tIngredientes[[#This Row],[Manter stock]]+_xlfn.CEILING.MATH(tIngredientes[[#This Row],[Adicionar stock à lista das receitas]]*K108),IF(E108="M",tIngredientes[[#This Row],[Manter stock]]+tIngredientes[[#This Row],[Adicionar stock à lista das receitas]]*L108&amp;G108,"ERRO"))))</f>
        <v>4</v>
      </c>
      <c r="B108" s="9" t="s">
        <v>340</v>
      </c>
      <c r="C108" s="9" t="s">
        <v>101</v>
      </c>
      <c r="D108" s="9" t="s">
        <v>233</v>
      </c>
      <c r="E108" s="24" t="s">
        <v>236</v>
      </c>
      <c r="F108" s="12"/>
      <c r="G108" s="12" t="s">
        <v>237</v>
      </c>
      <c r="H108" s="25" cm="1">
        <f t="array" ref="H108">_xlfn._xlws.FILTER(tSemanal[Q],tSemanal[Produto]=tIngredientes[[#This Row],[Mantimento]],0)</f>
        <v>0</v>
      </c>
      <c r="I108" s="27" cm="1">
        <f t="array" ref="I108">IF(tIngredientes[[#This Row],[Manter stock]]=0,1,IF(_xlfn._xlws.FILTER(tSemanal[Somar a quantidade à lista das receitas],tSemanal[Produto]=tIngredientes[[#This Row],[Mantimento]],"")="X",1,0))</f>
        <v>1</v>
      </c>
      <c r="J10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8" s="42">
        <f>SUMIFS(tPorReceita[Quantidade],tPorReceita[Mantimento],"="&amp;tIngredientes[[#This Row],[Mantimento]],tPorReceita[Data],"&gt;="&amp;iPeriodoDeRefeições,tPorReceita[Data],"&lt;="&amp;fPeriodoDeRefeições,tPorReceita[Medida],"=un")</f>
        <v>4</v>
      </c>
      <c r="L10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8" s="9" t="s">
        <v>337</v>
      </c>
      <c r="N108" s="9" t="s">
        <v>129</v>
      </c>
      <c r="O108" s="10"/>
    </row>
    <row r="109" spans="1:21" x14ac:dyDescent="0.2">
      <c r="A109" s="15" t="str">
        <f>IF(SUM(H109,J109:L109)=0,"",IF(ISNUMBER(SEARCH("E",E109)),tIngredientes[[#This Row],[Manter stock]]+tIngredientes[[#This Row],[Adicionar stock à lista das receitas]]*(J109+IFERROR(_xlfn.CEILING.MATH(K109/F109)+_xlfn.CEILING.MATH(L109/F109),0)),IF(E109="U",tIngredientes[[#This Row],[Manter stock]]+_xlfn.CEILING.MATH(tIngredientes[[#This Row],[Adicionar stock à lista das receitas]]*K109),IF(E109="M",tIngredientes[[#This Row],[Manter stock]]+tIngredientes[[#This Row],[Adicionar stock à lista das receitas]]*L109&amp;G109,"ERRO"))))</f>
        <v/>
      </c>
      <c r="B109" s="9" t="s">
        <v>128</v>
      </c>
      <c r="C109" s="9" t="s">
        <v>101</v>
      </c>
      <c r="D109" s="9" t="s">
        <v>233</v>
      </c>
      <c r="E109" s="24" t="s">
        <v>236</v>
      </c>
      <c r="F109" s="12"/>
      <c r="G109" s="12" t="s">
        <v>237</v>
      </c>
      <c r="H109" s="25" cm="1">
        <f t="array" ref="H109">_xlfn._xlws.FILTER(tSemanal[Q],tSemanal[Produto]=tIngredientes[[#This Row],[Mantimento]],0)</f>
        <v>0</v>
      </c>
      <c r="I109" s="27" cm="1">
        <f t="array" ref="I109">IF(tIngredientes[[#This Row],[Manter stock]]=0,1,IF(_xlfn._xlws.FILTER(tSemanal[Somar a quantidade à lista das receitas],tSemanal[Produto]=tIngredientes[[#This Row],[Mantimento]],"")="X",1,0))</f>
        <v>1</v>
      </c>
      <c r="J10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0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0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09" s="9" t="s">
        <v>337</v>
      </c>
      <c r="N109" s="9" t="s">
        <v>129</v>
      </c>
      <c r="O109" s="10"/>
    </row>
    <row r="110" spans="1:21" x14ac:dyDescent="0.2">
      <c r="A110" s="15" t="str">
        <f>IF(SUM(H110,J110:L110)=0,"",IF(ISNUMBER(SEARCH("E",E110)),tIngredientes[[#This Row],[Manter stock]]+tIngredientes[[#This Row],[Adicionar stock à lista das receitas]]*(J110+IFERROR(_xlfn.CEILING.MATH(K110/F110)+_xlfn.CEILING.MATH(L110/F110),0)),IF(E110="U",tIngredientes[[#This Row],[Manter stock]]+_xlfn.CEILING.MATH(tIngredientes[[#This Row],[Adicionar stock à lista das receitas]]*K110),IF(E110="M",tIngredientes[[#This Row],[Manter stock]]+tIngredientes[[#This Row],[Adicionar stock à lista das receitas]]*L110&amp;G110,"ERRO"))))</f>
        <v/>
      </c>
      <c r="B110" s="9" t="s">
        <v>63</v>
      </c>
      <c r="C110" s="9" t="s">
        <v>59</v>
      </c>
      <c r="D110" s="9" t="s">
        <v>233</v>
      </c>
      <c r="E110" s="24" t="s">
        <v>234</v>
      </c>
      <c r="F110" s="12">
        <v>150</v>
      </c>
      <c r="G110" s="12" t="s">
        <v>235</v>
      </c>
      <c r="H110" s="25" cm="1">
        <f t="array" ref="H110">_xlfn._xlws.FILTER(tSemanal[Q],tSemanal[Produto]=tIngredientes[[#This Row],[Mantimento]],0)</f>
        <v>0</v>
      </c>
      <c r="I110" s="27" cm="1">
        <f t="array" ref="I110">IF(tIngredientes[[#This Row],[Manter stock]]=0,1,IF(_xlfn._xlws.FILTER(tSemanal[Somar a quantidade à lista das receitas],tSemanal[Produto]=tIngredientes[[#This Row],[Mantimento]],"")="X",1,0))</f>
        <v>1</v>
      </c>
      <c r="J11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0" s="9" t="s">
        <v>324</v>
      </c>
      <c r="N110" s="9" t="s">
        <v>118</v>
      </c>
      <c r="O110" s="10"/>
    </row>
    <row r="111" spans="1:21" x14ac:dyDescent="0.2">
      <c r="A111" s="15" t="str">
        <f>IF(SUM(H111,J111:L111)=0,"",IF(ISNUMBER(SEARCH("E",E111)),tIngredientes[[#This Row],[Manter stock]]+tIngredientes[[#This Row],[Adicionar stock à lista das receitas]]*(J111+IFERROR(_xlfn.CEILING.MATH(K111/F111)+_xlfn.CEILING.MATH(L111/F111),0)),IF(E111="U",tIngredientes[[#This Row],[Manter stock]]+_xlfn.CEILING.MATH(tIngredientes[[#This Row],[Adicionar stock à lista das receitas]]*K111),IF(E111="M",tIngredientes[[#This Row],[Manter stock]]+tIngredientes[[#This Row],[Adicionar stock à lista das receitas]]*L111&amp;G111,"ERRO"))))</f>
        <v/>
      </c>
      <c r="B111" s="9" t="s">
        <v>341</v>
      </c>
      <c r="C111" s="9" t="s">
        <v>84</v>
      </c>
      <c r="D111" s="9" t="s">
        <v>233</v>
      </c>
      <c r="E111" s="24" t="s">
        <v>234</v>
      </c>
      <c r="F111" s="12"/>
      <c r="G111" s="12"/>
      <c r="H111" s="25" cm="1">
        <f t="array" ref="H111">_xlfn._xlws.FILTER(tSemanal[Q],tSemanal[Produto]=tIngredientes[[#This Row],[Mantimento]],0)</f>
        <v>0</v>
      </c>
      <c r="I111" s="27" cm="1">
        <f t="array" ref="I111">IF(tIngredientes[[#This Row],[Manter stock]]=0,1,IF(_xlfn._xlws.FILTER(tSemanal[Somar a quantidade à lista das receitas],tSemanal[Produto]=tIngredientes[[#This Row],[Mantimento]],"")="X",1,0))</f>
        <v>1</v>
      </c>
      <c r="J11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1" s="9" t="s">
        <v>239</v>
      </c>
      <c r="N111" s="9" t="s">
        <v>126</v>
      </c>
      <c r="O111" s="10"/>
    </row>
    <row r="112" spans="1:21" x14ac:dyDescent="0.2">
      <c r="A112" s="15" t="str">
        <f>IF(SUM(H112,J112:L112)=0,"",IF(ISNUMBER(SEARCH("E",E112)),tIngredientes[[#This Row],[Manter stock]]+tIngredientes[[#This Row],[Adicionar stock à lista das receitas]]*(J112+IFERROR(_xlfn.CEILING.MATH(K112/F112)+_xlfn.CEILING.MATH(L112/F112),0)),IF(E112="U",tIngredientes[[#This Row],[Manter stock]]+_xlfn.CEILING.MATH(tIngredientes[[#This Row],[Adicionar stock à lista das receitas]]*K112),IF(E112="M",tIngredientes[[#This Row],[Manter stock]]+tIngredientes[[#This Row],[Adicionar stock à lista das receitas]]*L112&amp;G112,"ERRO"))))</f>
        <v/>
      </c>
      <c r="B112" s="9" t="s">
        <v>342</v>
      </c>
      <c r="C112" s="9" t="s">
        <v>59</v>
      </c>
      <c r="D112" s="9" t="s">
        <v>233</v>
      </c>
      <c r="E112" s="24" t="s">
        <v>234</v>
      </c>
      <c r="F112" s="12"/>
      <c r="G112" s="12"/>
      <c r="H112" s="25" cm="1">
        <f t="array" ref="H112">_xlfn._xlws.FILTER(tSemanal[Q],tSemanal[Produto]=tIngredientes[[#This Row],[Mantimento]],0)</f>
        <v>0</v>
      </c>
      <c r="I112" s="27" cm="1">
        <f t="array" ref="I112">IF(tIngredientes[[#This Row],[Manter stock]]=0,1,IF(_xlfn._xlws.FILTER(tSemanal[Somar a quantidade à lista das receitas],tSemanal[Produto]=tIngredientes[[#This Row],[Mantimento]],"")="X",1,0))</f>
        <v>1</v>
      </c>
      <c r="J11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2" s="9" t="s">
        <v>239</v>
      </c>
      <c r="N112" s="9" t="s">
        <v>126</v>
      </c>
      <c r="O112" s="10"/>
    </row>
    <row r="113" spans="1:15" x14ac:dyDescent="0.2">
      <c r="A113" s="15" t="str">
        <f>IF(SUM(H113,J113:L113)=0,"",IF(ISNUMBER(SEARCH("E",E113)),tIngredientes[[#This Row],[Manter stock]]+tIngredientes[[#This Row],[Adicionar stock à lista das receitas]]*(J113+IFERROR(_xlfn.CEILING.MATH(K113/F113)+_xlfn.CEILING.MATH(L113/F113),0)),IF(E113="U",tIngredientes[[#This Row],[Manter stock]]+_xlfn.CEILING.MATH(tIngredientes[[#This Row],[Adicionar stock à lista das receitas]]*K113),IF(E113="M",tIngredientes[[#This Row],[Manter stock]]+tIngredientes[[#This Row],[Adicionar stock à lista das receitas]]*L113&amp;G113,"ERRO"))))</f>
        <v/>
      </c>
      <c r="B113" s="9" t="s">
        <v>343</v>
      </c>
      <c r="C113" s="9" t="s">
        <v>59</v>
      </c>
      <c r="D113" s="9" t="s">
        <v>233</v>
      </c>
      <c r="E113" s="24" t="s">
        <v>234</v>
      </c>
      <c r="F113" s="12"/>
      <c r="G113" s="12"/>
      <c r="H113" s="25" cm="1">
        <f t="array" ref="H113">_xlfn._xlws.FILTER(tSemanal[Q],tSemanal[Produto]=tIngredientes[[#This Row],[Mantimento]],0)</f>
        <v>0</v>
      </c>
      <c r="I113" s="27" cm="1">
        <f t="array" ref="I113">IF(tIngredientes[[#This Row],[Manter stock]]=0,1,IF(_xlfn._xlws.FILTER(tSemanal[Somar a quantidade à lista das receitas],tSemanal[Produto]=tIngredientes[[#This Row],[Mantimento]],"")="X",1,0))</f>
        <v>1</v>
      </c>
      <c r="J11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3" s="9" t="s">
        <v>239</v>
      </c>
      <c r="N113" s="9" t="s">
        <v>126</v>
      </c>
      <c r="O113" s="10"/>
    </row>
    <row r="114" spans="1:15" x14ac:dyDescent="0.2">
      <c r="A114" s="15" t="str">
        <f>IF(SUM(H114,J114:L114)=0,"",IF(ISNUMBER(SEARCH("E",E114)),tIngredientes[[#This Row],[Manter stock]]+tIngredientes[[#This Row],[Adicionar stock à lista das receitas]]*(J114+IFERROR(_xlfn.CEILING.MATH(K114/F114)+_xlfn.CEILING.MATH(L114/F114),0)),IF(E114="U",tIngredientes[[#This Row],[Manter stock]]+_xlfn.CEILING.MATH(tIngredientes[[#This Row],[Adicionar stock à lista das receitas]]*K114),IF(E114="M",tIngredientes[[#This Row],[Manter stock]]+tIngredientes[[#This Row],[Adicionar stock à lista das receitas]]*L114&amp;G114,"ERRO"))))</f>
        <v/>
      </c>
      <c r="B114" s="9" t="s">
        <v>344</v>
      </c>
      <c r="C114" s="9" t="s">
        <v>59</v>
      </c>
      <c r="D114" s="9" t="s">
        <v>233</v>
      </c>
      <c r="E114" s="24" t="s">
        <v>234</v>
      </c>
      <c r="F114" s="12"/>
      <c r="G114" s="12"/>
      <c r="H114" s="25" cm="1">
        <f t="array" ref="H114">_xlfn._xlws.FILTER(tSemanal[Q],tSemanal[Produto]=tIngredientes[[#This Row],[Mantimento]],0)</f>
        <v>0</v>
      </c>
      <c r="I114" s="27" cm="1">
        <f t="array" ref="I114">IF(tIngredientes[[#This Row],[Manter stock]]=0,1,IF(_xlfn._xlws.FILTER(tSemanal[Somar a quantidade à lista das receitas],tSemanal[Produto]=tIngredientes[[#This Row],[Mantimento]],"")="X",1,0))</f>
        <v>1</v>
      </c>
      <c r="J11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4" s="9" t="s">
        <v>239</v>
      </c>
      <c r="N114" s="9" t="s">
        <v>126</v>
      </c>
      <c r="O114" s="10"/>
    </row>
    <row r="115" spans="1:15" x14ac:dyDescent="0.2">
      <c r="A115" s="15" t="str">
        <f>IF(SUM(H115,J115:L115)=0,"",IF(ISNUMBER(SEARCH("E",E115)),tIngredientes[[#This Row],[Manter stock]]+tIngredientes[[#This Row],[Adicionar stock à lista das receitas]]*(J115+IFERROR(_xlfn.CEILING.MATH(K115/F115)+_xlfn.CEILING.MATH(L115/F115),0)),IF(E115="U",tIngredientes[[#This Row],[Manter stock]]+_xlfn.CEILING.MATH(tIngredientes[[#This Row],[Adicionar stock à lista das receitas]]*K115),IF(E115="M",tIngredientes[[#This Row],[Manter stock]]+tIngredientes[[#This Row],[Adicionar stock à lista das receitas]]*L115&amp;G115,"ERRO"))))</f>
        <v/>
      </c>
      <c r="B115" s="9" t="s">
        <v>345</v>
      </c>
      <c r="C115" s="9" t="s">
        <v>59</v>
      </c>
      <c r="D115" s="9" t="s">
        <v>233</v>
      </c>
      <c r="E115" s="24" t="s">
        <v>234</v>
      </c>
      <c r="F115" s="12"/>
      <c r="G115" s="12"/>
      <c r="H115" s="25" cm="1">
        <f t="array" ref="H115">_xlfn._xlws.FILTER(tSemanal[Q],tSemanal[Produto]=tIngredientes[[#This Row],[Mantimento]],0)</f>
        <v>0</v>
      </c>
      <c r="I115" s="27" cm="1">
        <f t="array" ref="I115">IF(tIngredientes[[#This Row],[Manter stock]]=0,1,IF(_xlfn._xlws.FILTER(tSemanal[Somar a quantidade à lista das receitas],tSemanal[Produto]=tIngredientes[[#This Row],[Mantimento]],"")="X",1,0))</f>
        <v>1</v>
      </c>
      <c r="J11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5" s="9" t="s">
        <v>239</v>
      </c>
      <c r="N115" s="9" t="s">
        <v>126</v>
      </c>
    </row>
    <row r="116" spans="1:15" x14ac:dyDescent="0.2">
      <c r="A116" s="15" t="str">
        <f>IF(SUM(H116,J116:L116)=0,"",IF(ISNUMBER(SEARCH("E",E116)),tIngredientes[[#This Row],[Manter stock]]+tIngredientes[[#This Row],[Adicionar stock à lista das receitas]]*(J116+IFERROR(_xlfn.CEILING.MATH(K116/F116)+_xlfn.CEILING.MATH(L116/F116),0)),IF(E116="U",tIngredientes[[#This Row],[Manter stock]]+_xlfn.CEILING.MATH(tIngredientes[[#This Row],[Adicionar stock à lista das receitas]]*K116),IF(E116="M",tIngredientes[[#This Row],[Manter stock]]+tIngredientes[[#This Row],[Adicionar stock à lista das receitas]]*L116&amp;G116,"ERRO"))))</f>
        <v/>
      </c>
      <c r="B116" s="9" t="s">
        <v>346</v>
      </c>
      <c r="C116" s="9" t="s">
        <v>87</v>
      </c>
      <c r="D116" s="9" t="s">
        <v>233</v>
      </c>
      <c r="E116" s="24" t="s">
        <v>236</v>
      </c>
      <c r="F116" s="12"/>
      <c r="G116" s="12" t="s">
        <v>237</v>
      </c>
      <c r="H116" s="25" cm="1">
        <f t="array" ref="H116">_xlfn._xlws.FILTER(tSemanal[Q],tSemanal[Produto]=tIngredientes[[#This Row],[Mantimento]],0)</f>
        <v>0</v>
      </c>
      <c r="I116" s="27" cm="1">
        <f t="array" ref="I116">IF(tIngredientes[[#This Row],[Manter stock]]=0,1,IF(_xlfn._xlws.FILTER(tSemanal[Somar a quantidade à lista das receitas],tSemanal[Produto]=tIngredientes[[#This Row],[Mantimento]],"")="X",1,0))</f>
        <v>1</v>
      </c>
      <c r="J11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6" s="9" t="s">
        <v>242</v>
      </c>
      <c r="N116" s="9" t="s">
        <v>118</v>
      </c>
    </row>
    <row r="117" spans="1:15" x14ac:dyDescent="0.2">
      <c r="A117" s="15">
        <f>IF(SUM(H117,J117:L117)=0,"",IF(ISNUMBER(SEARCH("E",E117)),tIngredientes[[#This Row],[Manter stock]]+tIngredientes[[#This Row],[Adicionar stock à lista das receitas]]*(J117+IFERROR(_xlfn.CEILING.MATH(K117/F117)+_xlfn.CEILING.MATH(L117/F117),0)),IF(E117="U",tIngredientes[[#This Row],[Manter stock]]+_xlfn.CEILING.MATH(tIngredientes[[#This Row],[Adicionar stock à lista das receitas]]*K117),IF(E117="M",tIngredientes[[#This Row],[Manter stock]]+tIngredientes[[#This Row],[Adicionar stock à lista das receitas]]*L117&amp;G117,"ERRO"))))</f>
        <v>1</v>
      </c>
      <c r="B117" s="9" t="s">
        <v>98</v>
      </c>
      <c r="C117" s="9" t="s">
        <v>87</v>
      </c>
      <c r="D117" s="9" t="s">
        <v>233</v>
      </c>
      <c r="E117" s="24" t="s">
        <v>236</v>
      </c>
      <c r="F117" s="12"/>
      <c r="G117" s="12" t="s">
        <v>237</v>
      </c>
      <c r="H117" s="25" cm="1">
        <f t="array" ref="H117">_xlfn._xlws.FILTER(tSemanal[Q],tSemanal[Produto]=tIngredientes[[#This Row],[Mantimento]],0)</f>
        <v>0</v>
      </c>
      <c r="I117" s="27" cm="1">
        <f t="array" ref="I117">IF(tIngredientes[[#This Row],[Manter stock]]=0,1,IF(_xlfn._xlws.FILTER(tSemanal[Somar a quantidade à lista das receitas],tSemanal[Produto]=tIngredientes[[#This Row],[Mantimento]],"")="X",1,0))</f>
        <v>1</v>
      </c>
      <c r="J11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7" s="42">
        <f>SUMIFS(tPorReceita[Quantidade],tPorReceita[Mantimento],"="&amp;tIngredientes[[#This Row],[Mantimento]],tPorReceita[Data],"&gt;="&amp;iPeriodoDeRefeições,tPorReceita[Data],"&lt;="&amp;fPeriodoDeRefeições,tPorReceita[Medida],"=un")</f>
        <v>1</v>
      </c>
      <c r="L11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7" s="9" t="s">
        <v>242</v>
      </c>
      <c r="N117" s="9" t="s">
        <v>118</v>
      </c>
    </row>
    <row r="118" spans="1:15" x14ac:dyDescent="0.2">
      <c r="A118" s="15" t="str">
        <f>IF(SUM(H118,J118:L118)=0,"",IF(ISNUMBER(SEARCH("E",E118)),tIngredientes[[#This Row],[Manter stock]]+tIngredientes[[#This Row],[Adicionar stock à lista das receitas]]*(J118+IFERROR(_xlfn.CEILING.MATH(K118/F118)+_xlfn.CEILING.MATH(L118/F118),0)),IF(E118="U",tIngredientes[[#This Row],[Manter stock]]+_xlfn.CEILING.MATH(tIngredientes[[#This Row],[Adicionar stock à lista das receitas]]*K118),IF(E118="M",tIngredientes[[#This Row],[Manter stock]]+tIngredientes[[#This Row],[Adicionar stock à lista das receitas]]*L118&amp;G118,"ERRO"))))</f>
        <v/>
      </c>
      <c r="B118" s="9" t="s">
        <v>347</v>
      </c>
      <c r="C118" s="9" t="s">
        <v>59</v>
      </c>
      <c r="D118" s="9" t="s">
        <v>233</v>
      </c>
      <c r="E118" s="24" t="s">
        <v>234</v>
      </c>
      <c r="F118" s="12"/>
      <c r="G118" s="12"/>
      <c r="H118" s="25" cm="1">
        <f t="array" ref="H118">_xlfn._xlws.FILTER(tSemanal[Q],tSemanal[Produto]=tIngredientes[[#This Row],[Mantimento]],0)</f>
        <v>0</v>
      </c>
      <c r="I118" s="27" cm="1">
        <f t="array" ref="I118">IF(tIngredientes[[#This Row],[Manter stock]]=0,1,IF(_xlfn._xlws.FILTER(tSemanal[Somar a quantidade à lista das receitas],tSemanal[Produto]=tIngredientes[[#This Row],[Mantimento]],"")="X",1,0))</f>
        <v>1</v>
      </c>
      <c r="J11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18" s="9" t="s">
        <v>239</v>
      </c>
      <c r="N118" s="9" t="s">
        <v>126</v>
      </c>
    </row>
    <row r="119" spans="1:15" x14ac:dyDescent="0.2">
      <c r="A119" s="15">
        <f>IF(SUM(H119,J119:L119)=0,"",IF(ISNUMBER(SEARCH("E",E119)),tIngredientes[[#This Row],[Manter stock]]+tIngredientes[[#This Row],[Adicionar stock à lista das receitas]]*(J119+IFERROR(_xlfn.CEILING.MATH(K119/F119)+_xlfn.CEILING.MATH(L119/F119),0)),IF(E119="U",tIngredientes[[#This Row],[Manter stock]]+_xlfn.CEILING.MATH(tIngredientes[[#This Row],[Adicionar stock à lista das receitas]]*K119),IF(E119="M",tIngredientes[[#This Row],[Manter stock]]+tIngredientes[[#This Row],[Adicionar stock à lista das receitas]]*L119&amp;G119,"ERRO"))))</f>
        <v>1</v>
      </c>
      <c r="B119" s="9" t="s">
        <v>56</v>
      </c>
      <c r="C119" s="9" t="s">
        <v>50</v>
      </c>
      <c r="D119" s="9" t="s">
        <v>233</v>
      </c>
      <c r="E119" s="24" t="s">
        <v>234</v>
      </c>
      <c r="F119" s="12">
        <v>1000</v>
      </c>
      <c r="G119" s="12" t="s">
        <v>244</v>
      </c>
      <c r="H119" s="25" cm="1">
        <f t="array" ref="H119">_xlfn._xlws.FILTER(tSemanal[Q],tSemanal[Produto]=tIngredientes[[#This Row],[Mantimento]],0)</f>
        <v>0</v>
      </c>
      <c r="I119" s="27" cm="1">
        <f t="array" ref="I119">IF(tIngredientes[[#This Row],[Manter stock]]=0,1,IF(_xlfn._xlws.FILTER(tSemanal[Somar a quantidade à lista das receitas],tSemanal[Produto]=tIngredientes[[#This Row],[Mantimento]],"")="X",1,0))</f>
        <v>1</v>
      </c>
      <c r="J11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1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1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30</v>
      </c>
      <c r="M119" s="9" t="s">
        <v>348</v>
      </c>
      <c r="N119" s="9" t="s">
        <v>126</v>
      </c>
    </row>
    <row r="120" spans="1:15" x14ac:dyDescent="0.2">
      <c r="A120" s="15">
        <f>IF(SUM(H120,J120:L120)=0,"",IF(ISNUMBER(SEARCH("E",E120)),tIngredientes[[#This Row],[Manter stock]]+tIngredientes[[#This Row],[Adicionar stock à lista das receitas]]*(J120+IFERROR(_xlfn.CEILING.MATH(K120/F120)+_xlfn.CEILING.MATH(L120/F120),0)),IF(E120="U",tIngredientes[[#This Row],[Manter stock]]+_xlfn.CEILING.MATH(tIngredientes[[#This Row],[Adicionar stock à lista das receitas]]*K120),IF(E120="M",tIngredientes[[#This Row],[Manter stock]]+tIngredientes[[#This Row],[Adicionar stock à lista das receitas]]*L120&amp;G120,"ERRO"))))</f>
        <v>4</v>
      </c>
      <c r="B120" s="9" t="s">
        <v>349</v>
      </c>
      <c r="C120" s="9" t="s">
        <v>101</v>
      </c>
      <c r="D120" s="9" t="s">
        <v>233</v>
      </c>
      <c r="E120" s="24" t="s">
        <v>236</v>
      </c>
      <c r="F120" s="12"/>
      <c r="G120" s="12" t="s">
        <v>237</v>
      </c>
      <c r="H120" s="25" cm="1">
        <f t="array" ref="H120">_xlfn._xlws.FILTER(tSemanal[Q],tSemanal[Produto]=tIngredientes[[#This Row],[Mantimento]],0)</f>
        <v>0</v>
      </c>
      <c r="I120" s="27" cm="1">
        <f t="array" ref="I120">IF(tIngredientes[[#This Row],[Manter stock]]=0,1,IF(_xlfn._xlws.FILTER(tSemanal[Somar a quantidade à lista das receitas],tSemanal[Produto]=tIngredientes[[#This Row],[Mantimento]],"")="X",1,0))</f>
        <v>1</v>
      </c>
      <c r="J12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0" s="42">
        <f>SUMIFS(tPorReceita[Quantidade],tPorReceita[Mantimento],"="&amp;tIngredientes[[#This Row],[Mantimento]],tPorReceita[Data],"&gt;="&amp;iPeriodoDeRefeições,tPorReceita[Data],"&lt;="&amp;fPeriodoDeRefeições,tPorReceita[Medida],"=un")</f>
        <v>4</v>
      </c>
      <c r="L12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20" s="9" t="s">
        <v>337</v>
      </c>
      <c r="N120" s="9" t="s">
        <v>129</v>
      </c>
    </row>
    <row r="121" spans="1:15" x14ac:dyDescent="0.2">
      <c r="A121" s="15">
        <f>IF(SUM(H121,J121:L121)=0,"",IF(ISNUMBER(SEARCH("E",E121)),tIngredientes[[#This Row],[Manter stock]]+tIngredientes[[#This Row],[Adicionar stock à lista das receitas]]*(J121+IFERROR(_xlfn.CEILING.MATH(K121/F121)+_xlfn.CEILING.MATH(L121/F121),0)),IF(E121="U",tIngredientes[[#This Row],[Manter stock]]+_xlfn.CEILING.MATH(tIngredientes[[#This Row],[Adicionar stock à lista das receitas]]*K121),IF(E121="M",tIngredientes[[#This Row],[Manter stock]]+tIngredientes[[#This Row],[Adicionar stock à lista das receitas]]*L121&amp;G121,"ERRO"))))</f>
        <v>4</v>
      </c>
      <c r="B121" s="9" t="s">
        <v>46</v>
      </c>
      <c r="C121" s="9" t="s">
        <v>44</v>
      </c>
      <c r="D121" s="9" t="s">
        <v>233</v>
      </c>
      <c r="E121" s="24" t="s">
        <v>236</v>
      </c>
      <c r="F121" s="12"/>
      <c r="G121" s="12" t="s">
        <v>237</v>
      </c>
      <c r="H121" s="25" cm="1">
        <f t="array" ref="H121">_xlfn._xlws.FILTER(tSemanal[Q],tSemanal[Produto]=tIngredientes[[#This Row],[Mantimento]],0)</f>
        <v>4</v>
      </c>
      <c r="I121" s="27" cm="1">
        <f t="array" ref="I121">IF(tIngredientes[[#This Row],[Manter stock]]=0,1,IF(_xlfn._xlws.FILTER(tSemanal[Somar a quantidade à lista das receitas],tSemanal[Produto]=tIngredientes[[#This Row],[Mantimento]],"")="X",1,0))</f>
        <v>1</v>
      </c>
      <c r="J12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21" s="9" t="s">
        <v>350</v>
      </c>
      <c r="N121" s="9" t="s">
        <v>126</v>
      </c>
    </row>
    <row r="122" spans="1:15" x14ac:dyDescent="0.2">
      <c r="A122" s="15">
        <f>IF(SUM(H122,J122:L122)=0,"",IF(ISNUMBER(SEARCH("E",E122)),tIngredientes[[#This Row],[Manter stock]]+tIngredientes[[#This Row],[Adicionar stock à lista das receitas]]*(J122+IFERROR(_xlfn.CEILING.MATH(K122/F122)+_xlfn.CEILING.MATH(L122/F122),0)),IF(E122="U",tIngredientes[[#This Row],[Manter stock]]+_xlfn.CEILING.MATH(tIngredientes[[#This Row],[Adicionar stock à lista das receitas]]*K122),IF(E122="M",tIngredientes[[#This Row],[Manter stock]]+tIngredientes[[#This Row],[Adicionar stock à lista das receitas]]*L122&amp;G122,"ERRO"))))</f>
        <v>2</v>
      </c>
      <c r="B122" s="9" t="s">
        <v>110</v>
      </c>
      <c r="C122" s="9" t="s">
        <v>101</v>
      </c>
      <c r="D122" s="9" t="s">
        <v>233</v>
      </c>
      <c r="E122" s="24" t="s">
        <v>234</v>
      </c>
      <c r="F122" s="12">
        <v>1000</v>
      </c>
      <c r="G122" s="12" t="s">
        <v>235</v>
      </c>
      <c r="H122" s="25" cm="1">
        <f t="array" ref="H122">_xlfn._xlws.FILTER(tSemanal[Q],tSemanal[Produto]=tIngredientes[[#This Row],[Mantimento]],0)</f>
        <v>2</v>
      </c>
      <c r="I122" s="27" cm="1">
        <f t="array" ref="I122">IF(tIngredientes[[#This Row],[Manter stock]]=0,1,IF(_xlfn._xlws.FILTER(tSemanal[Somar a quantidade à lista das receitas],tSemanal[Produto]=tIngredientes[[#This Row],[Mantimento]],"")="X",1,0))</f>
        <v>1</v>
      </c>
      <c r="J12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22" s="9" t="s">
        <v>351</v>
      </c>
      <c r="N122" s="9" t="s">
        <v>117</v>
      </c>
    </row>
    <row r="123" spans="1:15" x14ac:dyDescent="0.2">
      <c r="A123" s="15">
        <f>IF(SUM(H123,J123:L123)=0,"",IF(ISNUMBER(SEARCH("E",E123)),tIngredientes[[#This Row],[Manter stock]]+tIngredientes[[#This Row],[Adicionar stock à lista das receitas]]*(J123+IFERROR(_xlfn.CEILING.MATH(K123/F123)+_xlfn.CEILING.MATH(L123/F123),0)),IF(E123="U",tIngredientes[[#This Row],[Manter stock]]+_xlfn.CEILING.MATH(tIngredientes[[#This Row],[Adicionar stock à lista das receitas]]*K123),IF(E123="M",tIngredientes[[#This Row],[Manter stock]]+tIngredientes[[#This Row],[Adicionar stock à lista das receitas]]*L123&amp;G123,"ERRO"))))</f>
        <v>2</v>
      </c>
      <c r="B123" s="9" t="s">
        <v>352</v>
      </c>
      <c r="C123" s="9" t="s">
        <v>87</v>
      </c>
      <c r="D123" s="9" t="s">
        <v>233</v>
      </c>
      <c r="E123" s="24" t="s">
        <v>234</v>
      </c>
      <c r="F123" s="12">
        <v>300</v>
      </c>
      <c r="G123" s="12" t="s">
        <v>235</v>
      </c>
      <c r="H123" s="25" cm="1">
        <f t="array" ref="H123">_xlfn._xlws.FILTER(tSemanal[Q],tSemanal[Produto]=tIngredientes[[#This Row],[Mantimento]],0)</f>
        <v>0</v>
      </c>
      <c r="I123" s="27" cm="1">
        <f t="array" ref="I123">IF(tIngredientes[[#This Row],[Manter stock]]=0,1,IF(_xlfn._xlws.FILTER(tSemanal[Somar a quantidade à lista das receitas],tSemanal[Produto]=tIngredientes[[#This Row],[Mantimento]],"")="X",1,0))</f>
        <v>1</v>
      </c>
      <c r="J12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350</v>
      </c>
      <c r="M123" s="9" t="s">
        <v>353</v>
      </c>
      <c r="N123" s="9" t="s">
        <v>116</v>
      </c>
    </row>
    <row r="124" spans="1:15" x14ac:dyDescent="0.2">
      <c r="A124" s="15">
        <f>IF(SUM(H124,J124:L124)=0,"",IF(ISNUMBER(SEARCH("E",E124)),tIngredientes[[#This Row],[Manter stock]]+tIngredientes[[#This Row],[Adicionar stock à lista das receitas]]*(J124+IFERROR(_xlfn.CEILING.MATH(K124/F124)+_xlfn.CEILING.MATH(L124/F124),0)),IF(E124="U",tIngredientes[[#This Row],[Manter stock]]+_xlfn.CEILING.MATH(tIngredientes[[#This Row],[Adicionar stock à lista das receitas]]*K124),IF(E124="M",tIngredientes[[#This Row],[Manter stock]]+tIngredientes[[#This Row],[Adicionar stock à lista das receitas]]*L124&amp;G124,"ERRO"))))</f>
        <v>1</v>
      </c>
      <c r="B124" s="9" t="s">
        <v>99</v>
      </c>
      <c r="C124" s="9" t="s">
        <v>87</v>
      </c>
      <c r="D124" s="9" t="s">
        <v>233</v>
      </c>
      <c r="E124" s="24" t="s">
        <v>234</v>
      </c>
      <c r="F124" s="12">
        <v>200</v>
      </c>
      <c r="G124" s="12" t="s">
        <v>235</v>
      </c>
      <c r="H124" s="25" cm="1">
        <f t="array" ref="H124">_xlfn._xlws.FILTER(tSemanal[Q],tSemanal[Produto]=tIngredientes[[#This Row],[Mantimento]],0)</f>
        <v>1</v>
      </c>
      <c r="I124" s="27" cm="1">
        <f t="array" ref="I124">IF(tIngredientes[[#This Row],[Manter stock]]=0,1,IF(_xlfn._xlws.FILTER(tSemanal[Somar a quantidade à lista das receitas],tSemanal[Produto]=tIngredientes[[#This Row],[Mantimento]],"")="X",1,0))</f>
        <v>1</v>
      </c>
      <c r="J12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24" s="9" t="s">
        <v>354</v>
      </c>
      <c r="N124" s="9" t="s">
        <v>116</v>
      </c>
    </row>
    <row r="125" spans="1:15" x14ac:dyDescent="0.2">
      <c r="A125" s="15">
        <f>IF(SUM(H125,J125:L125)=0,"",IF(ISNUMBER(SEARCH("E",E125)),tIngredientes[[#This Row],[Manter stock]]+tIngredientes[[#This Row],[Adicionar stock à lista das receitas]]*(J125+IFERROR(_xlfn.CEILING.MATH(K125/F125)+_xlfn.CEILING.MATH(L125/F125),0)),IF(E125="U",tIngredientes[[#This Row],[Manter stock]]+_xlfn.CEILING.MATH(tIngredientes[[#This Row],[Adicionar stock à lista das receitas]]*K125),IF(E125="M",tIngredientes[[#This Row],[Manter stock]]+tIngredientes[[#This Row],[Adicionar stock à lista das receitas]]*L125&amp;G125,"ERRO"))))</f>
        <v>1</v>
      </c>
      <c r="B125" s="9" t="s">
        <v>355</v>
      </c>
      <c r="C125" s="9" t="s">
        <v>87</v>
      </c>
      <c r="D125" s="9" t="s">
        <v>233</v>
      </c>
      <c r="E125" s="24" t="s">
        <v>234</v>
      </c>
      <c r="F125" s="12">
        <v>150</v>
      </c>
      <c r="G125" s="12" t="s">
        <v>235</v>
      </c>
      <c r="H125" s="25" cm="1">
        <f t="array" ref="H125">_xlfn._xlws.FILTER(tSemanal[Q],tSemanal[Produto]=tIngredientes[[#This Row],[Mantimento]],0)</f>
        <v>0</v>
      </c>
      <c r="I125" s="27" cm="1">
        <f t="array" ref="I125">IF(tIngredientes[[#This Row],[Manter stock]]=0,1,IF(_xlfn._xlws.FILTER(tSemanal[Somar a quantidade à lista das receitas],tSemanal[Produto]=tIngredientes[[#This Row],[Mantimento]],"")="X",1,0))</f>
        <v>1</v>
      </c>
      <c r="J12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150</v>
      </c>
      <c r="M125" s="9" t="s">
        <v>353</v>
      </c>
      <c r="N125" s="9" t="s">
        <v>116</v>
      </c>
    </row>
    <row r="126" spans="1:15" x14ac:dyDescent="0.2">
      <c r="A126" s="15">
        <f>IF(SUM(H126,J126:L126)=0,"",IF(ISNUMBER(SEARCH("E",E126)),tIngredientes[[#This Row],[Manter stock]]+tIngredientes[[#This Row],[Adicionar stock à lista das receitas]]*(J126+IFERROR(_xlfn.CEILING.MATH(K126/F126)+_xlfn.CEILING.MATH(L126/F126),0)),IF(E126="U",tIngredientes[[#This Row],[Manter stock]]+_xlfn.CEILING.MATH(tIngredientes[[#This Row],[Adicionar stock à lista das receitas]]*K126),IF(E126="M",tIngredientes[[#This Row],[Manter stock]]+tIngredientes[[#This Row],[Adicionar stock à lista das receitas]]*L126&amp;G126,"ERRO"))))</f>
        <v>1</v>
      </c>
      <c r="B126" s="9" t="s">
        <v>356</v>
      </c>
      <c r="C126" s="9" t="s">
        <v>87</v>
      </c>
      <c r="D126" s="9" t="s">
        <v>233</v>
      </c>
      <c r="E126" s="24" t="s">
        <v>234</v>
      </c>
      <c r="F126" s="12">
        <v>150</v>
      </c>
      <c r="G126" s="12" t="s">
        <v>235</v>
      </c>
      <c r="H126" s="25" cm="1">
        <f t="array" ref="H126">_xlfn._xlws.FILTER(tSemanal[Q],tSemanal[Produto]=tIngredientes[[#This Row],[Mantimento]],0)</f>
        <v>0</v>
      </c>
      <c r="I126" s="27" cm="1">
        <f t="array" ref="I126">IF(tIngredientes[[#This Row],[Manter stock]]=0,1,IF(_xlfn._xlws.FILTER(tSemanal[Somar a quantidade à lista das receitas],tSemanal[Produto]=tIngredientes[[#This Row],[Mantimento]],"")="X",1,0))</f>
        <v>1</v>
      </c>
      <c r="J12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100</v>
      </c>
      <c r="M126" s="9" t="s">
        <v>357</v>
      </c>
      <c r="N126" s="9" t="s">
        <v>116</v>
      </c>
    </row>
    <row r="127" spans="1:15" x14ac:dyDescent="0.2">
      <c r="A127" s="15" t="str">
        <f>IF(SUM(H127,J127:L127)=0,"",IF(ISNUMBER(SEARCH("E",E127)),tIngredientes[[#This Row],[Manter stock]]+tIngredientes[[#This Row],[Adicionar stock à lista das receitas]]*(J127+IFERROR(_xlfn.CEILING.MATH(K127/F127)+_xlfn.CEILING.MATH(L127/F127),0)),IF(E127="U",tIngredientes[[#This Row],[Manter stock]]+_xlfn.CEILING.MATH(tIngredientes[[#This Row],[Adicionar stock à lista das receitas]]*K127),IF(E127="M",tIngredientes[[#This Row],[Manter stock]]+tIngredientes[[#This Row],[Adicionar stock à lista das receitas]]*L127&amp;G127,"ERRO"))))</f>
        <v/>
      </c>
      <c r="B127" s="11" t="s">
        <v>358</v>
      </c>
      <c r="C127" s="9" t="s">
        <v>87</v>
      </c>
      <c r="D127" s="9" t="s">
        <v>233</v>
      </c>
      <c r="E127" s="24" t="s">
        <v>234</v>
      </c>
      <c r="F127" s="12">
        <v>150</v>
      </c>
      <c r="G127" s="12" t="s">
        <v>235</v>
      </c>
      <c r="H127" s="25" cm="1">
        <f t="array" ref="H127">_xlfn._xlws.FILTER(tSemanal[Q],tSemanal[Produto]=tIngredientes[[#This Row],[Mantimento]],0)</f>
        <v>0</v>
      </c>
      <c r="I127" s="27" cm="1">
        <f t="array" ref="I127">IF(tIngredientes[[#This Row],[Manter stock]]=0,1,IF(_xlfn._xlws.FILTER(tSemanal[Somar a quantidade à lista das receitas],tSemanal[Produto]=tIngredientes[[#This Row],[Mantimento]],"")="X",1,0))</f>
        <v>1</v>
      </c>
      <c r="J12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27" s="9" t="s">
        <v>353</v>
      </c>
      <c r="N127" s="9" t="s">
        <v>116</v>
      </c>
    </row>
    <row r="128" spans="1:15" x14ac:dyDescent="0.2">
      <c r="A128" s="15" t="str">
        <f>IF(SUM(H128,J128:L128)=0,"",IF(ISNUMBER(SEARCH("E",E128)),tIngredientes[[#This Row],[Manter stock]]+tIngredientes[[#This Row],[Adicionar stock à lista das receitas]]*(J128+IFERROR(_xlfn.CEILING.MATH(K128/F128)+_xlfn.CEILING.MATH(L128/F128),0)),IF(E128="U",tIngredientes[[#This Row],[Manter stock]]+_xlfn.CEILING.MATH(tIngredientes[[#This Row],[Adicionar stock à lista das receitas]]*K128),IF(E128="M",tIngredientes[[#This Row],[Manter stock]]+tIngredientes[[#This Row],[Adicionar stock à lista das receitas]]*L128&amp;G128,"ERRO"))))</f>
        <v/>
      </c>
      <c r="B128" s="9" t="s">
        <v>111</v>
      </c>
      <c r="C128" s="9" t="s">
        <v>101</v>
      </c>
      <c r="D128" s="9" t="s">
        <v>135</v>
      </c>
      <c r="E128" s="24" t="s">
        <v>240</v>
      </c>
      <c r="F128" s="12"/>
      <c r="G128" s="12" t="s">
        <v>235</v>
      </c>
      <c r="H128" s="25" cm="1">
        <f t="array" ref="H128">_xlfn._xlws.FILTER(tSemanal[Q],tSemanal[Produto]=tIngredientes[[#This Row],[Mantimento]],0)</f>
        <v>0</v>
      </c>
      <c r="I128" s="27" cm="1">
        <f t="array" ref="I128">IF(tIngredientes[[#This Row],[Manter stock]]=0,1,IF(_xlfn._xlws.FILTER(tSemanal[Somar a quantidade à lista das receitas],tSemanal[Produto]=tIngredientes[[#This Row],[Mantimento]],"")="X",1,0))</f>
        <v>1</v>
      </c>
      <c r="J12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28" s="9" t="s">
        <v>266</v>
      </c>
      <c r="N128" s="9" t="s">
        <v>135</v>
      </c>
    </row>
    <row r="129" spans="1:14" x14ac:dyDescent="0.2">
      <c r="A129" s="15">
        <f>IF(SUM(H129,J129:L129)=0,"",IF(ISNUMBER(SEARCH("E",E129)),tIngredientes[[#This Row],[Manter stock]]+tIngredientes[[#This Row],[Adicionar stock à lista das receitas]]*(J129+IFERROR(_xlfn.CEILING.MATH(K129/F129)+_xlfn.CEILING.MATH(L129/F129),0)),IF(E129="U",tIngredientes[[#This Row],[Manter stock]]+_xlfn.CEILING.MATH(tIngredientes[[#This Row],[Adicionar stock à lista das receitas]]*K129),IF(E129="M",tIngredientes[[#This Row],[Manter stock]]+tIngredientes[[#This Row],[Adicionar stock à lista das receitas]]*L129&amp;G129,"ERRO"))))</f>
        <v>1</v>
      </c>
      <c r="B129" s="9" t="s">
        <v>64</v>
      </c>
      <c r="C129" s="9" t="s">
        <v>59</v>
      </c>
      <c r="D129" s="9" t="s">
        <v>233</v>
      </c>
      <c r="E129" s="24" t="s">
        <v>236</v>
      </c>
      <c r="F129" s="12">
        <v>1</v>
      </c>
      <c r="G129" s="12"/>
      <c r="H129" s="25" cm="1">
        <f t="array" ref="H129">_xlfn._xlws.FILTER(tSemanal[Q],tSemanal[Produto]=tIngredientes[[#This Row],[Mantimento]],0)</f>
        <v>1</v>
      </c>
      <c r="I129" s="27" cm="1">
        <f t="array" ref="I129">IF(tIngredientes[[#This Row],[Manter stock]]=0,1,IF(_xlfn._xlws.FILTER(tSemanal[Somar a quantidade à lista das receitas],tSemanal[Produto]=tIngredientes[[#This Row],[Mantimento]],"")="X",1,0))</f>
        <v>1</v>
      </c>
      <c r="J12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2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2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29" s="9" t="s">
        <v>359</v>
      </c>
      <c r="N129" s="9" t="s">
        <v>124</v>
      </c>
    </row>
    <row r="130" spans="1:14" x14ac:dyDescent="0.2">
      <c r="A130" s="15">
        <f>IF(SUM(H130,J130:L130)=0,"",IF(ISNUMBER(SEARCH("E",E130)),tIngredientes[[#This Row],[Manter stock]]+tIngredientes[[#This Row],[Adicionar stock à lista das receitas]]*(J130+IFERROR(_xlfn.CEILING.MATH(K130/F130)+_xlfn.CEILING.MATH(L130/F130),0)),IF(E130="U",tIngredientes[[#This Row],[Manter stock]]+_xlfn.CEILING.MATH(tIngredientes[[#This Row],[Adicionar stock à lista das receitas]]*K130),IF(E130="M",tIngredientes[[#This Row],[Manter stock]]+tIngredientes[[#This Row],[Adicionar stock à lista das receitas]]*L130&amp;G130,"ERRO"))))</f>
        <v>1</v>
      </c>
      <c r="B130" s="9" t="s">
        <v>42</v>
      </c>
      <c r="C130" s="9" t="s">
        <v>36</v>
      </c>
      <c r="D130" s="9" t="s">
        <v>233</v>
      </c>
      <c r="E130" s="24" t="s">
        <v>236</v>
      </c>
      <c r="F130" s="12">
        <v>1</v>
      </c>
      <c r="G130" s="12" t="s">
        <v>237</v>
      </c>
      <c r="H130" s="25" cm="1">
        <f t="array" ref="H130">_xlfn._xlws.FILTER(tSemanal[Q],tSemanal[Produto]=tIngredientes[[#This Row],[Mantimento]],0)</f>
        <v>1</v>
      </c>
      <c r="I130" s="27" cm="1">
        <f t="array" ref="I130">IF(tIngredientes[[#This Row],[Manter stock]]=0,1,IF(_xlfn._xlws.FILTER(tSemanal[Somar a quantidade à lista das receitas],tSemanal[Produto]=tIngredientes[[#This Row],[Mantimento]],"")="X",1,0))</f>
        <v>1</v>
      </c>
      <c r="J13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30" s="9" t="s">
        <v>360</v>
      </c>
      <c r="N130" s="9" t="s">
        <v>124</v>
      </c>
    </row>
    <row r="131" spans="1:14" x14ac:dyDescent="0.2">
      <c r="A131" s="15">
        <v>1</v>
      </c>
      <c r="B131" s="9" t="s">
        <v>82</v>
      </c>
      <c r="C131" s="9" t="s">
        <v>69</v>
      </c>
      <c r="D131" s="9" t="s">
        <v>233</v>
      </c>
      <c r="E131" s="24" t="s">
        <v>234</v>
      </c>
      <c r="F131" s="12">
        <v>1000</v>
      </c>
      <c r="G131" s="12" t="s">
        <v>235</v>
      </c>
      <c r="H131" s="25" cm="1">
        <f t="array" ref="H131">_xlfn._xlws.FILTER(tSemanal[Q],tSemanal[Produto]=tIngredientes[[#This Row],[Mantimento]],0)</f>
        <v>1</v>
      </c>
      <c r="I131" s="27" cm="1">
        <f t="array" ref="I131">IF(tIngredientes[[#This Row],[Manter stock]]=0,1,IF(_xlfn._xlws.FILTER(tSemanal[Somar a quantidade à lista das receitas],tSemanal[Produto]=tIngredientes[[#This Row],[Mantimento]],"")="X",1,0))</f>
        <v>0</v>
      </c>
      <c r="J13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31" s="9" t="s">
        <v>361</v>
      </c>
      <c r="N131" s="9" t="s">
        <v>126</v>
      </c>
    </row>
    <row r="132" spans="1:14" x14ac:dyDescent="0.2">
      <c r="A132" s="15" t="str">
        <f>IF(SUM(H132,J132:L132)=0,"",IF(ISNUMBER(SEARCH("E",E132)),tIngredientes[[#This Row],[Manter stock]]+tIngredientes[[#This Row],[Adicionar stock à lista das receitas]]*(J132+IFERROR(_xlfn.CEILING.MATH(K132/F132)+_xlfn.CEILING.MATH(L132/F132),0)),IF(E132="U",tIngredientes[[#This Row],[Manter stock]]+_xlfn.CEILING.MATH(tIngredientes[[#This Row],[Adicionar stock à lista das receitas]]*K132),IF(E132="M",tIngredientes[[#This Row],[Manter stock]]+tIngredientes[[#This Row],[Adicionar stock à lista das receitas]]*L132&amp;G132,"ERRO"))))</f>
        <v/>
      </c>
      <c r="B132" s="9" t="s">
        <v>362</v>
      </c>
      <c r="C132" s="9" t="s">
        <v>69</v>
      </c>
      <c r="D132" s="9" t="s">
        <v>233</v>
      </c>
      <c r="E132" s="24" t="s">
        <v>234</v>
      </c>
      <c r="F132" s="12">
        <v>1000</v>
      </c>
      <c r="G132" s="12" t="s">
        <v>235</v>
      </c>
      <c r="H132" s="25" cm="1">
        <f t="array" ref="H132">_xlfn._xlws.FILTER(tSemanal[Q],tSemanal[Produto]=tIngredientes[[#This Row],[Mantimento]],0)</f>
        <v>0</v>
      </c>
      <c r="I132" s="27" cm="1">
        <f t="array" ref="I132">IF(tIngredientes[[#This Row],[Manter stock]]=0,1,IF(_xlfn._xlws.FILTER(tSemanal[Somar a quantidade à lista das receitas],tSemanal[Produto]=tIngredientes[[#This Row],[Mantimento]],"")="X",1,0))</f>
        <v>1</v>
      </c>
      <c r="J13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32" s="9" t="s">
        <v>361</v>
      </c>
      <c r="N132" s="9" t="s">
        <v>126</v>
      </c>
    </row>
    <row r="133" spans="1:14" x14ac:dyDescent="0.2">
      <c r="A133" s="15" t="str">
        <f>IF(SUM(H133,J133:L133)=0,"",IF(ISNUMBER(SEARCH("E",E133)),tIngredientes[[#This Row],[Manter stock]]+tIngredientes[[#This Row],[Adicionar stock à lista das receitas]]*(J133+IFERROR(_xlfn.CEILING.MATH(K133/F133)+_xlfn.CEILING.MATH(L133/F133),0)),IF(E133="U",tIngredientes[[#This Row],[Manter stock]]+_xlfn.CEILING.MATH(tIngredientes[[#This Row],[Adicionar stock à lista das receitas]]*K133),IF(E133="M",tIngredientes[[#This Row],[Manter stock]]+tIngredientes[[#This Row],[Adicionar stock à lista das receitas]]*L133&amp;G133,"ERRO"))))</f>
        <v/>
      </c>
      <c r="B133" s="11" t="s">
        <v>131</v>
      </c>
      <c r="C133" s="11" t="s">
        <v>101</v>
      </c>
      <c r="D133" s="9" t="s">
        <v>233</v>
      </c>
      <c r="E133" s="24" t="s">
        <v>240</v>
      </c>
      <c r="F133" s="12"/>
      <c r="G133" s="12" t="s">
        <v>235</v>
      </c>
      <c r="H133" s="25" cm="1">
        <f t="array" ref="H133">_xlfn._xlws.FILTER(tSemanal[Q],tSemanal[Produto]=tIngredientes[[#This Row],[Mantimento]],0)</f>
        <v>0</v>
      </c>
      <c r="I133" s="27" cm="1">
        <f t="array" ref="I133">IF(tIngredientes[[#This Row],[Manter stock]]=0,1,IF(_xlfn._xlws.FILTER(tSemanal[Somar a quantidade à lista das receitas],tSemanal[Produto]=tIngredientes[[#This Row],[Mantimento]],"")="X",1,0))</f>
        <v>1</v>
      </c>
      <c r="J13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33" s="11" t="s">
        <v>337</v>
      </c>
      <c r="N133" s="9" t="s">
        <v>129</v>
      </c>
    </row>
    <row r="134" spans="1:14" x14ac:dyDescent="0.2">
      <c r="A134" s="15">
        <f>IF(SUM(H134,J134:L134)=0,"",IF(ISNUMBER(SEARCH("E",E134)),tIngredientes[[#This Row],[Manter stock]]+tIngredientes[[#This Row],[Adicionar stock à lista das receitas]]*(J134+IFERROR(_xlfn.CEILING.MATH(K134/F134)+_xlfn.CEILING.MATH(L134/F134),0)),IF(E134="U",tIngredientes[[#This Row],[Manter stock]]+_xlfn.CEILING.MATH(tIngredientes[[#This Row],[Adicionar stock à lista das receitas]]*K134),IF(E134="M",tIngredientes[[#This Row],[Manter stock]]+tIngredientes[[#This Row],[Adicionar stock à lista das receitas]]*L134&amp;G134,"ERRO"))))</f>
        <v>1</v>
      </c>
      <c r="B134" s="9" t="s">
        <v>363</v>
      </c>
      <c r="C134" s="9" t="s">
        <v>87</v>
      </c>
      <c r="D134" s="9" t="s">
        <v>233</v>
      </c>
      <c r="E134" s="24" t="s">
        <v>234</v>
      </c>
      <c r="F134" s="12">
        <v>50</v>
      </c>
      <c r="G134" s="12" t="s">
        <v>235</v>
      </c>
      <c r="H134" s="25" cm="1">
        <f t="array" ref="H134">_xlfn._xlws.FILTER(tSemanal[Q],tSemanal[Produto]=tIngredientes[[#This Row],[Mantimento]],0)</f>
        <v>0</v>
      </c>
      <c r="I134" s="27" cm="1">
        <f t="array" ref="I134">IF(tIngredientes[[#This Row],[Manter stock]]=0,1,IF(_xlfn._xlws.FILTER(tSemanal[Somar a quantidade à lista das receitas],tSemanal[Produto]=tIngredientes[[#This Row],[Mantimento]],"")="X",1,0))</f>
        <v>1</v>
      </c>
      <c r="J13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4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10</v>
      </c>
      <c r="M134" s="9" t="s">
        <v>286</v>
      </c>
      <c r="N134" s="9" t="s">
        <v>118</v>
      </c>
    </row>
    <row r="135" spans="1:14" x14ac:dyDescent="0.2">
      <c r="A135" s="15" t="str">
        <f>IF(SUM(H135,J135:L135)=0,"",IF(ISNUMBER(SEARCH("E",E135)),tIngredientes[[#This Row],[Manter stock]]+tIngredientes[[#This Row],[Adicionar stock à lista das receitas]]*(J135+IFERROR(_xlfn.CEILING.MATH(K135/F135)+_xlfn.CEILING.MATH(L135/F135),0)),IF(E135="U",tIngredientes[[#This Row],[Manter stock]]+_xlfn.CEILING.MATH(tIngredientes[[#This Row],[Adicionar stock à lista das receitas]]*K135),IF(E135="M",tIngredientes[[#This Row],[Manter stock]]+tIngredientes[[#This Row],[Adicionar stock à lista das receitas]]*L135&amp;G135,"ERRO"))))</f>
        <v/>
      </c>
      <c r="B135" s="9" t="s">
        <v>364</v>
      </c>
      <c r="C135" s="9" t="s">
        <v>101</v>
      </c>
      <c r="D135" s="9" t="s">
        <v>135</v>
      </c>
      <c r="E135" s="24" t="s">
        <v>236</v>
      </c>
      <c r="F135" s="12"/>
      <c r="G135" s="12" t="s">
        <v>237</v>
      </c>
      <c r="H135" s="25" cm="1">
        <f t="array" ref="H135">_xlfn._xlws.FILTER(tSemanal[Q],tSemanal[Produto]=tIngredientes[[#This Row],[Mantimento]],0)</f>
        <v>0</v>
      </c>
      <c r="I135" s="27" cm="1">
        <f t="array" ref="I135">IF(tIngredientes[[#This Row],[Manter stock]]=0,1,IF(_xlfn._xlws.FILTER(tSemanal[Somar a quantidade à lista das receitas],tSemanal[Produto]=tIngredientes[[#This Row],[Mantimento]],"")="X",1,0))</f>
        <v>1</v>
      </c>
      <c r="J13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35" s="9" t="s">
        <v>250</v>
      </c>
      <c r="N135" s="9" t="s">
        <v>135</v>
      </c>
    </row>
    <row r="136" spans="1:14" x14ac:dyDescent="0.2">
      <c r="A136" s="15" t="str">
        <f>IF(SUM(H136,J136:L136)=0,"",IF(ISNUMBER(SEARCH("E",E136)),tIngredientes[[#This Row],[Manter stock]]+tIngredientes[[#This Row],[Adicionar stock à lista das receitas]]*(J136+IFERROR(_xlfn.CEILING.MATH(K136/F136)+_xlfn.CEILING.MATH(L136/F136),0)),IF(E136="U",tIngredientes[[#This Row],[Manter stock]]+_xlfn.CEILING.MATH(tIngredientes[[#This Row],[Adicionar stock à lista das receitas]]*K136),IF(E136="M",tIngredientes[[#This Row],[Manter stock]]+tIngredientes[[#This Row],[Adicionar stock à lista das receitas]]*L136&amp;G136,"ERRO"))))</f>
        <v/>
      </c>
      <c r="B136" s="9" t="s">
        <v>365</v>
      </c>
      <c r="C136" s="9" t="s">
        <v>50</v>
      </c>
      <c r="D136" s="9" t="s">
        <v>233</v>
      </c>
      <c r="E136" s="24" t="s">
        <v>234</v>
      </c>
      <c r="F136" s="12">
        <v>1</v>
      </c>
      <c r="G136" s="12" t="s">
        <v>237</v>
      </c>
      <c r="H136" s="25" cm="1">
        <f t="array" ref="H136">_xlfn._xlws.FILTER(tSemanal[Q],tSemanal[Produto]=tIngredientes[[#This Row],[Mantimento]],0)</f>
        <v>0</v>
      </c>
      <c r="I136" s="27" cm="1">
        <f t="array" ref="I136">IF(tIngredientes[[#This Row],[Manter stock]]=0,1,IF(_xlfn._xlws.FILTER(tSemanal[Somar a quantidade à lista das receitas],tSemanal[Produto]=tIngredientes[[#This Row],[Mantimento]],"")="X",1,0))</f>
        <v>1</v>
      </c>
      <c r="J13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36" s="9" t="s">
        <v>366</v>
      </c>
      <c r="N136" s="9" t="s">
        <v>126</v>
      </c>
    </row>
    <row r="137" spans="1:14" x14ac:dyDescent="0.2">
      <c r="A137" s="15">
        <f>IF(SUM(H137,J137:L137)=0,"",IF(ISNUMBER(SEARCH("E",E137)),tIngredientes[[#This Row],[Manter stock]]+tIngredientes[[#This Row],[Adicionar stock à lista das receitas]]*(J137+IFERROR(_xlfn.CEILING.MATH(K137/F137)+_xlfn.CEILING.MATH(L137/F137),0)),IF(E137="U",tIngredientes[[#This Row],[Manter stock]]+_xlfn.CEILING.MATH(tIngredientes[[#This Row],[Adicionar stock à lista das receitas]]*K137),IF(E137="M",tIngredientes[[#This Row],[Manter stock]]+tIngredientes[[#This Row],[Adicionar stock à lista das receitas]]*L137&amp;G137,"ERRO"))))</f>
        <v>1</v>
      </c>
      <c r="B137" s="9" t="s">
        <v>65</v>
      </c>
      <c r="C137" s="9" t="s">
        <v>59</v>
      </c>
      <c r="D137" s="9" t="s">
        <v>233</v>
      </c>
      <c r="E137" s="24" t="s">
        <v>234</v>
      </c>
      <c r="F137" s="12"/>
      <c r="G137" s="12"/>
      <c r="H137" s="25" cm="1">
        <f t="array" ref="H137">_xlfn._xlws.FILTER(tSemanal[Q],tSemanal[Produto]=tIngredientes[[#This Row],[Mantimento]],0)</f>
        <v>1</v>
      </c>
      <c r="I137" s="27" cm="1">
        <f t="array" ref="I137">IF(tIngredientes[[#This Row],[Manter stock]]=0,1,IF(_xlfn._xlws.FILTER(tSemanal[Somar a quantidade à lista das receitas],tSemanal[Produto]=tIngredientes[[#This Row],[Mantimento]],"")="X",1,0))</f>
        <v>1</v>
      </c>
      <c r="J13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37" s="9" t="s">
        <v>367</v>
      </c>
      <c r="N137" s="9" t="s">
        <v>132</v>
      </c>
    </row>
    <row r="138" spans="1:14" x14ac:dyDescent="0.2">
      <c r="A138" s="15">
        <f>IF(SUM(H138,J138:L138)=0,"",IF(ISNUMBER(SEARCH("E",E138)),tIngredientes[[#This Row],[Manter stock]]+tIngredientes[[#This Row],[Adicionar stock à lista das receitas]]*(J138+IFERROR(_xlfn.CEILING.MATH(K138/F138)+_xlfn.CEILING.MATH(L138/F138),0)),IF(E138="U",tIngredientes[[#This Row],[Manter stock]]+_xlfn.CEILING.MATH(tIngredientes[[#This Row],[Adicionar stock à lista das receitas]]*K138),IF(E138="M",tIngredientes[[#This Row],[Manter stock]]+tIngredientes[[#This Row],[Adicionar stock à lista das receitas]]*L138&amp;G138,"ERRO"))))</f>
        <v>3</v>
      </c>
      <c r="B138" s="9" t="s">
        <v>47</v>
      </c>
      <c r="C138" s="9" t="s">
        <v>44</v>
      </c>
      <c r="D138" s="9" t="s">
        <v>233</v>
      </c>
      <c r="E138" s="24" t="s">
        <v>234</v>
      </c>
      <c r="F138" s="12"/>
      <c r="G138" s="12"/>
      <c r="H138" s="25" cm="1">
        <f t="array" ref="H138">_xlfn._xlws.FILTER(tSemanal[Q],tSemanal[Produto]=tIngredientes[[#This Row],[Mantimento]],0)</f>
        <v>3</v>
      </c>
      <c r="I138" s="27" cm="1">
        <f t="array" ref="I138">IF(tIngredientes[[#This Row],[Manter stock]]=0,1,IF(_xlfn._xlws.FILTER(tSemanal[Somar a quantidade à lista das receitas],tSemanal[Produto]=tIngredientes[[#This Row],[Mantimento]],"")="X",1,0))</f>
        <v>1</v>
      </c>
      <c r="J13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38" s="9" t="s">
        <v>367</v>
      </c>
      <c r="N138" s="9" t="s">
        <v>132</v>
      </c>
    </row>
    <row r="139" spans="1:14" x14ac:dyDescent="0.2">
      <c r="A139" s="15">
        <f>IF(SUM(H139,J139:L139)=0,"",IF(ISNUMBER(SEARCH("E",E139)),tIngredientes[[#This Row],[Manter stock]]+tIngredientes[[#This Row],[Adicionar stock à lista das receitas]]*(J139+IFERROR(_xlfn.CEILING.MATH(K139/F139)+_xlfn.CEILING.MATH(L139/F139),0)),IF(E139="U",tIngredientes[[#This Row],[Manter stock]]+_xlfn.CEILING.MATH(tIngredientes[[#This Row],[Adicionar stock à lista das receitas]]*K139),IF(E139="M",tIngredientes[[#This Row],[Manter stock]]+tIngredientes[[#This Row],[Adicionar stock à lista das receitas]]*L139&amp;G139,"ERRO"))))</f>
        <v>3</v>
      </c>
      <c r="B139" s="9" t="s">
        <v>48</v>
      </c>
      <c r="C139" s="9" t="s">
        <v>44</v>
      </c>
      <c r="D139" s="9" t="s">
        <v>233</v>
      </c>
      <c r="E139" s="24" t="s">
        <v>234</v>
      </c>
      <c r="F139" s="12"/>
      <c r="G139" s="12"/>
      <c r="H139" s="25" cm="1">
        <f t="array" ref="H139">_xlfn._xlws.FILTER(tSemanal[Q],tSemanal[Produto]=tIngredientes[[#This Row],[Mantimento]],0)</f>
        <v>3</v>
      </c>
      <c r="I139" s="27" cm="1">
        <f t="array" ref="I139">IF(tIngredientes[[#This Row],[Manter stock]]=0,1,IF(_xlfn._xlws.FILTER(tSemanal[Somar a quantidade à lista das receitas],tSemanal[Produto]=tIngredientes[[#This Row],[Mantimento]],"")="X",1,0))</f>
        <v>1</v>
      </c>
      <c r="J13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3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3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39" s="9" t="s">
        <v>368</v>
      </c>
      <c r="N139" s="9" t="s">
        <v>132</v>
      </c>
    </row>
    <row r="140" spans="1:14" x14ac:dyDescent="0.2">
      <c r="A140" s="15" t="str">
        <f>IF(SUM(H140,J140:L140)=0,"",IF(ISNUMBER(SEARCH("E",E140)),tIngredientes[[#This Row],[Manter stock]]+tIngredientes[[#This Row],[Adicionar stock à lista das receitas]]*(J140+IFERROR(_xlfn.CEILING.MATH(K140/F140)+_xlfn.CEILING.MATH(L140/F140),0)),IF(E140="U",tIngredientes[[#This Row],[Manter stock]]+_xlfn.CEILING.MATH(tIngredientes[[#This Row],[Adicionar stock à lista das receitas]]*K140),IF(E140="M",tIngredientes[[#This Row],[Manter stock]]+tIngredientes[[#This Row],[Adicionar stock à lista das receitas]]*L140&amp;G140,"ERRO"))))</f>
        <v/>
      </c>
      <c r="B140" s="9" t="s">
        <v>369</v>
      </c>
      <c r="C140" s="9" t="s">
        <v>50</v>
      </c>
      <c r="D140" s="9" t="s">
        <v>233</v>
      </c>
      <c r="E140" s="24" t="s">
        <v>234</v>
      </c>
      <c r="F140" s="12"/>
      <c r="G140" s="12"/>
      <c r="H140" s="25" cm="1">
        <f t="array" ref="H140">_xlfn._xlws.FILTER(tSemanal[Q],tSemanal[Produto]=tIngredientes[[#This Row],[Mantimento]],0)</f>
        <v>0</v>
      </c>
      <c r="I140" s="27" cm="1">
        <f t="array" ref="I140">IF(tIngredientes[[#This Row],[Manter stock]]=0,1,IF(_xlfn._xlws.FILTER(tSemanal[Somar a quantidade à lista das receitas],tSemanal[Produto]=tIngredientes[[#This Row],[Mantimento]],"")="X",1,0))</f>
        <v>1</v>
      </c>
      <c r="J14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0" s="9" t="s">
        <v>322</v>
      </c>
      <c r="N140" s="9" t="s">
        <v>126</v>
      </c>
    </row>
    <row r="141" spans="1:14" x14ac:dyDescent="0.2">
      <c r="A141" s="15">
        <f>IF(SUM(H141,J141:L141)=0,"",IF(ISNUMBER(SEARCH("E",E141)),tIngredientes[[#This Row],[Manter stock]]+tIngredientes[[#This Row],[Adicionar stock à lista das receitas]]*(J141+IFERROR(_xlfn.CEILING.MATH(K141/F141)+_xlfn.CEILING.MATH(L141/F141),0)),IF(E141="U",tIngredientes[[#This Row],[Manter stock]]+_xlfn.CEILING.MATH(tIngredientes[[#This Row],[Adicionar stock à lista das receitas]]*K141),IF(E141="M",tIngredientes[[#This Row],[Manter stock]]+tIngredientes[[#This Row],[Adicionar stock à lista das receitas]]*L141&amp;G141,"ERRO"))))</f>
        <v>2</v>
      </c>
      <c r="B141" s="9" t="s">
        <v>57</v>
      </c>
      <c r="C141" s="9" t="s">
        <v>50</v>
      </c>
      <c r="D141" s="9" t="s">
        <v>233</v>
      </c>
      <c r="E141" s="24" t="s">
        <v>234</v>
      </c>
      <c r="F141" s="12"/>
      <c r="G141" s="12" t="s">
        <v>237</v>
      </c>
      <c r="H141" s="25" cm="1">
        <f t="array" ref="H141">_xlfn._xlws.FILTER(tSemanal[Q],tSemanal[Produto]=tIngredientes[[#This Row],[Mantimento]],0)</f>
        <v>2</v>
      </c>
      <c r="I141" s="27" cm="1">
        <f t="array" ref="I141">IF(tIngredientes[[#This Row],[Manter stock]]=0,1,IF(_xlfn._xlws.FILTER(tSemanal[Somar a quantidade à lista das receitas],tSemanal[Produto]=tIngredientes[[#This Row],[Mantimento]],"")="X",1,0))</f>
        <v>1</v>
      </c>
      <c r="J14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1" s="9" t="s">
        <v>348</v>
      </c>
      <c r="N141" s="9" t="s">
        <v>126</v>
      </c>
    </row>
    <row r="142" spans="1:14" x14ac:dyDescent="0.2">
      <c r="A142" s="15" t="str">
        <f>IF(SUM(H142,J142:L142)=0,"",IF(ISNUMBER(SEARCH("E",E142)),tIngredientes[[#This Row],[Manter stock]]+tIngredientes[[#This Row],[Adicionar stock à lista das receitas]]*(J142+IFERROR(_xlfn.CEILING.MATH(K142/F142)+_xlfn.CEILING.MATH(L142/F142),0)),IF(E142="U",tIngredientes[[#This Row],[Manter stock]]+_xlfn.CEILING.MATH(tIngredientes[[#This Row],[Adicionar stock à lista das receitas]]*K142),IF(E142="M",tIngredientes[[#This Row],[Manter stock]]+tIngredientes[[#This Row],[Adicionar stock à lista das receitas]]*L142&amp;G142,"ERRO"))))</f>
        <v/>
      </c>
      <c r="B142" s="9" t="s">
        <v>370</v>
      </c>
      <c r="C142" s="9" t="s">
        <v>50</v>
      </c>
      <c r="D142" s="9" t="s">
        <v>233</v>
      </c>
      <c r="E142" s="24" t="s">
        <v>234</v>
      </c>
      <c r="F142" s="12">
        <v>280</v>
      </c>
      <c r="G142" s="12" t="s">
        <v>235</v>
      </c>
      <c r="H142" s="25" cm="1">
        <f t="array" ref="H142">_xlfn._xlws.FILTER(tSemanal[Q],tSemanal[Produto]=tIngredientes[[#This Row],[Mantimento]],0)</f>
        <v>0</v>
      </c>
      <c r="I142" s="27" cm="1">
        <f t="array" ref="I142">IF(tIngredientes[[#This Row],[Manter stock]]=0,1,IF(_xlfn._xlws.FILTER(tSemanal[Somar a quantidade à lista das receitas],tSemanal[Produto]=tIngredientes[[#This Row],[Mantimento]],"")="X",1,0))</f>
        <v>1</v>
      </c>
      <c r="J142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2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2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2" s="9" t="s">
        <v>348</v>
      </c>
      <c r="N142" s="9" t="s">
        <v>126</v>
      </c>
    </row>
    <row r="143" spans="1:14" x14ac:dyDescent="0.2">
      <c r="A143" s="15" t="str">
        <f>IF(SUM(H143,J143:L143)=0,"",IF(ISNUMBER(SEARCH("E",E143)),tIngredientes[[#This Row],[Manter stock]]+tIngredientes[[#This Row],[Adicionar stock à lista das receitas]]*(J143+IFERROR(_xlfn.CEILING.MATH(K143/F143)+_xlfn.CEILING.MATH(L143/F143),0)),IF(E143="U",tIngredientes[[#This Row],[Manter stock]]+_xlfn.CEILING.MATH(tIngredientes[[#This Row],[Adicionar stock à lista das receitas]]*K143),IF(E143="M",tIngredientes[[#This Row],[Manter stock]]+tIngredientes[[#This Row],[Adicionar stock à lista das receitas]]*L143&amp;G143,"ERRO"))))</f>
        <v/>
      </c>
      <c r="B143" s="9" t="s">
        <v>371</v>
      </c>
      <c r="C143" s="9" t="s">
        <v>50</v>
      </c>
      <c r="D143" s="9" t="s">
        <v>233</v>
      </c>
      <c r="E143" s="24" t="s">
        <v>234</v>
      </c>
      <c r="F143" s="12">
        <v>100</v>
      </c>
      <c r="G143" s="12" t="s">
        <v>235</v>
      </c>
      <c r="H143" s="25" cm="1">
        <f t="array" ref="H143">_xlfn._xlws.FILTER(tSemanal[Q],tSemanal[Produto]=tIngredientes[[#This Row],[Mantimento]],0)</f>
        <v>0</v>
      </c>
      <c r="I143" s="27" cm="1">
        <f t="array" ref="I143">IF(tIngredientes[[#This Row],[Manter stock]]=0,1,IF(_xlfn._xlws.FILTER(tSemanal[Somar a quantidade à lista das receitas],tSemanal[Produto]=tIngredientes[[#This Row],[Mantimento]],"")="X",1,0))</f>
        <v>1</v>
      </c>
      <c r="J143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3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3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3" s="9" t="s">
        <v>348</v>
      </c>
      <c r="N143" s="9" t="s">
        <v>126</v>
      </c>
    </row>
    <row r="144" spans="1:14" x14ac:dyDescent="0.2">
      <c r="A144" s="15">
        <f>IF(SUM(H144,J144:L144)=0,"",IF(ISNUMBER(SEARCH("E",E144)),tIngredientes[[#This Row],[Manter stock]]+tIngredientes[[#This Row],[Adicionar stock à lista das receitas]]*(J144+IFERROR(_xlfn.CEILING.MATH(K144/F144)+_xlfn.CEILING.MATH(L144/F144),0)),IF(E144="U",tIngredientes[[#This Row],[Manter stock]]+_xlfn.CEILING.MATH(tIngredientes[[#This Row],[Adicionar stock à lista das receitas]]*K144),IF(E144="M",tIngredientes[[#This Row],[Manter stock]]+tIngredientes[[#This Row],[Adicionar stock à lista das receitas]]*L144&amp;G144,"ERRO"))))</f>
        <v>1</v>
      </c>
      <c r="B144" s="9" t="s">
        <v>147</v>
      </c>
      <c r="C144" s="9" t="s">
        <v>87</v>
      </c>
      <c r="D144" s="9" t="s">
        <v>233</v>
      </c>
      <c r="E144" s="24" t="s">
        <v>236</v>
      </c>
      <c r="F144" s="12"/>
      <c r="G144" s="12" t="s">
        <v>237</v>
      </c>
      <c r="H144" s="25" cm="1">
        <f t="array" ref="H144">_xlfn._xlws.FILTER(tSemanal[Q],tSemanal[Produto]=tIngredientes[[#This Row],[Mantimento]],0)</f>
        <v>0</v>
      </c>
      <c r="I144" s="27" cm="1">
        <f t="array" ref="I144">IF(tIngredientes[[#This Row],[Manter stock]]=0,1,IF(_xlfn._xlws.FILTER(tSemanal[Somar a quantidade à lista das receitas],tSemanal[Produto]=tIngredientes[[#This Row],[Mantimento]],"")="X",1,0))</f>
        <v>1</v>
      </c>
      <c r="J144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4" s="42">
        <f>SUMIFS(tPorReceita[Quantidade],tPorReceita[Mantimento],"="&amp;tIngredientes[[#This Row],[Mantimento]],tPorReceita[Data],"&gt;="&amp;iPeriodoDeRefeições,tPorReceita[Data],"&lt;="&amp;fPeriodoDeRefeições,tPorReceita[Medida],"=un")</f>
        <v>1</v>
      </c>
      <c r="L144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4" s="9" t="s">
        <v>242</v>
      </c>
      <c r="N144" s="9" t="s">
        <v>118</v>
      </c>
    </row>
    <row r="145" spans="1:14" x14ac:dyDescent="0.2">
      <c r="A145" s="15" t="str">
        <f>IF(SUM(H145,J145:L145)=0,"",IF(ISNUMBER(SEARCH("E",E145)),tIngredientes[[#This Row],[Manter stock]]+tIngredientes[[#This Row],[Adicionar stock à lista das receitas]]*(J145+IFERROR(_xlfn.CEILING.MATH(K145/F145)+_xlfn.CEILING.MATH(L145/F145),0)),IF(E145="U",tIngredientes[[#This Row],[Manter stock]]+_xlfn.CEILING.MATH(tIngredientes[[#This Row],[Adicionar stock à lista das receitas]]*K145),IF(E145="M",tIngredientes[[#This Row],[Manter stock]]+tIngredientes[[#This Row],[Adicionar stock à lista das receitas]]*L145&amp;G145,"ERRO"))))</f>
        <v/>
      </c>
      <c r="B145" s="9" t="s">
        <v>372</v>
      </c>
      <c r="C145" s="9" t="s">
        <v>84</v>
      </c>
      <c r="D145" s="9" t="s">
        <v>233</v>
      </c>
      <c r="E145" s="24" t="s">
        <v>234</v>
      </c>
      <c r="F145" s="12"/>
      <c r="G145" s="12"/>
      <c r="H145" s="25" cm="1">
        <f t="array" ref="H145">_xlfn._xlws.FILTER(tSemanal[Q],tSemanal[Produto]=tIngredientes[[#This Row],[Mantimento]],0)</f>
        <v>0</v>
      </c>
      <c r="I145" s="27" cm="1">
        <f t="array" ref="I145">IF(tIngredientes[[#This Row],[Manter stock]]=0,1,IF(_xlfn._xlws.FILTER(tSemanal[Somar a quantidade à lista das receitas],tSemanal[Produto]=tIngredientes[[#This Row],[Mantimento]],"")="X",1,0))</f>
        <v>1</v>
      </c>
      <c r="J145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5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5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5" s="9" t="s">
        <v>239</v>
      </c>
      <c r="N145" s="9" t="s">
        <v>126</v>
      </c>
    </row>
    <row r="146" spans="1:14" x14ac:dyDescent="0.2">
      <c r="A146" s="15" t="str">
        <f>IF(SUM(H146,J146:L146)=0,"",IF(ISNUMBER(SEARCH("E",E146)),tIngredientes[[#This Row],[Manter stock]]+tIngredientes[[#This Row],[Adicionar stock à lista das receitas]]*(J146+IFERROR(_xlfn.CEILING.MATH(K146/F146)+_xlfn.CEILING.MATH(L146/F146),0)),IF(E146="U",tIngredientes[[#This Row],[Manter stock]]+_xlfn.CEILING.MATH(tIngredientes[[#This Row],[Adicionar stock à lista das receitas]]*K146),IF(E146="M",tIngredientes[[#This Row],[Manter stock]]+tIngredientes[[#This Row],[Adicionar stock à lista das receitas]]*L146&amp;G146,"ERRO"))))</f>
        <v/>
      </c>
      <c r="B146" s="9" t="s">
        <v>373</v>
      </c>
      <c r="C146" s="9" t="s">
        <v>101</v>
      </c>
      <c r="D146" s="9" t="s">
        <v>233</v>
      </c>
      <c r="E146" s="24" t="s">
        <v>234</v>
      </c>
      <c r="F146" s="12">
        <v>750</v>
      </c>
      <c r="G146" s="12" t="s">
        <v>235</v>
      </c>
      <c r="H146" s="25" cm="1">
        <f t="array" ref="H146">_xlfn._xlws.FILTER(tSemanal[Q],tSemanal[Produto]=tIngredientes[[#This Row],[Mantimento]],0)</f>
        <v>0</v>
      </c>
      <c r="I146" s="27" cm="1">
        <f t="array" ref="I146">IF(tIngredientes[[#This Row],[Manter stock]]=0,1,IF(_xlfn._xlws.FILTER(tSemanal[Somar a quantidade à lista das receitas],tSemanal[Produto]=tIngredientes[[#This Row],[Mantimento]],"")="X",1,0))</f>
        <v>1</v>
      </c>
      <c r="J146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6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6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6" s="9" t="s">
        <v>303</v>
      </c>
      <c r="N146" s="9" t="s">
        <v>117</v>
      </c>
    </row>
    <row r="147" spans="1:14" x14ac:dyDescent="0.2">
      <c r="A147" s="15">
        <f>IF(SUM(H147,J147:L147)=0,"",IF(ISNUMBER(SEARCH("E",E147)),tIngredientes[[#This Row],[Manter stock]]+tIngredientes[[#This Row],[Adicionar stock à lista das receitas]]*(J147+IFERROR(_xlfn.CEILING.MATH(K147/F147)+_xlfn.CEILING.MATH(L147/F147),0)),IF(E147="U",tIngredientes[[#This Row],[Manter stock]]+_xlfn.CEILING.MATH(tIngredientes[[#This Row],[Adicionar stock à lista das receitas]]*K147),IF(E147="M",tIngredientes[[#This Row],[Manter stock]]+tIngredientes[[#This Row],[Adicionar stock à lista das receitas]]*L147&amp;G147,"ERRO"))))</f>
        <v>6</v>
      </c>
      <c r="B147" s="9" t="s">
        <v>112</v>
      </c>
      <c r="C147" s="9" t="s">
        <v>101</v>
      </c>
      <c r="D147" s="9" t="s">
        <v>233</v>
      </c>
      <c r="E147" s="24" t="s">
        <v>234</v>
      </c>
      <c r="F147" s="12">
        <v>700</v>
      </c>
      <c r="G147" s="12" t="s">
        <v>235</v>
      </c>
      <c r="H147" s="25" cm="1">
        <f t="array" ref="H147">_xlfn._xlws.FILTER(tSemanal[Q],tSemanal[Produto]=tIngredientes[[#This Row],[Mantimento]],0)</f>
        <v>6</v>
      </c>
      <c r="I147" s="27" cm="1">
        <f t="array" ref="I147">IF(tIngredientes[[#This Row],[Manter stock]]=0,1,IF(_xlfn._xlws.FILTER(tSemanal[Somar a quantidade à lista das receitas],tSemanal[Produto]=tIngredientes[[#This Row],[Mantimento]],"")="X",1,0))</f>
        <v>1</v>
      </c>
      <c r="J147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7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7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7" s="9" t="s">
        <v>303</v>
      </c>
      <c r="N147" s="9" t="s">
        <v>117</v>
      </c>
    </row>
    <row r="148" spans="1:14" x14ac:dyDescent="0.2">
      <c r="A148" s="15" t="str">
        <f>IF(SUM(H148,J148:L148)=0,"",IF(ISNUMBER(SEARCH("E",E148)),tIngredientes[[#This Row],[Manter stock]]+tIngredientes[[#This Row],[Adicionar stock à lista das receitas]]*(J148+IFERROR(_xlfn.CEILING.MATH(K148/F148)+_xlfn.CEILING.MATH(L148/F148),0)),IF(E148="U",tIngredientes[[#This Row],[Manter stock]]+_xlfn.CEILING.MATH(tIngredientes[[#This Row],[Adicionar stock à lista das receitas]]*K148),IF(E148="M",tIngredientes[[#This Row],[Manter stock]]+tIngredientes[[#This Row],[Adicionar stock à lista das receitas]]*L148&amp;G148,"ERRO"))))</f>
        <v/>
      </c>
      <c r="B148" s="9" t="s">
        <v>374</v>
      </c>
      <c r="C148" s="9" t="s">
        <v>59</v>
      </c>
      <c r="D148" s="9" t="s">
        <v>233</v>
      </c>
      <c r="E148" s="24" t="s">
        <v>234</v>
      </c>
      <c r="F148" s="12">
        <v>500</v>
      </c>
      <c r="G148" s="12" t="s">
        <v>244</v>
      </c>
      <c r="H148" s="25" cm="1">
        <f t="array" ref="H148">_xlfn._xlws.FILTER(tSemanal[Q],tSemanal[Produto]=tIngredientes[[#This Row],[Mantimento]],0)</f>
        <v>0</v>
      </c>
      <c r="I148" s="27" cm="1">
        <f t="array" ref="I148">IF(tIngredientes[[#This Row],[Manter stock]]=0,1,IF(_xlfn._xlws.FILTER(tSemanal[Somar a quantidade à lista das receitas],tSemanal[Produto]=tIngredientes[[#This Row],[Mantimento]],"")="X",1,0))</f>
        <v>1</v>
      </c>
      <c r="J148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8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8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8" s="9" t="s">
        <v>375</v>
      </c>
      <c r="N148" s="9" t="s">
        <v>126</v>
      </c>
    </row>
    <row r="149" spans="1:14" x14ac:dyDescent="0.2">
      <c r="A149" s="15" t="str">
        <f>IF(SUM(H149,J149:L149)=0,"",IF(ISNUMBER(SEARCH("E",E149)),tIngredientes[[#This Row],[Manter stock]]+tIngredientes[[#This Row],[Adicionar stock à lista das receitas]]*(J149+IFERROR(_xlfn.CEILING.MATH(K149/F149)+_xlfn.CEILING.MATH(L149/F149),0)),IF(E149="U",tIngredientes[[#This Row],[Manter stock]]+_xlfn.CEILING.MATH(tIngredientes[[#This Row],[Adicionar stock à lista das receitas]]*K149),IF(E149="M",tIngredientes[[#This Row],[Manter stock]]+tIngredientes[[#This Row],[Adicionar stock à lista das receitas]]*L149&amp;G149,"ERRO"))))</f>
        <v/>
      </c>
      <c r="B149" s="9" t="s">
        <v>66</v>
      </c>
      <c r="C149" s="9" t="s">
        <v>59</v>
      </c>
      <c r="D149" s="9" t="s">
        <v>233</v>
      </c>
      <c r="E149" s="24" t="s">
        <v>234</v>
      </c>
      <c r="F149" s="12">
        <v>750</v>
      </c>
      <c r="G149" s="12" t="s">
        <v>244</v>
      </c>
      <c r="H149" s="25" cm="1">
        <f t="array" ref="H149">_xlfn._xlws.FILTER(tSemanal[Q],tSemanal[Produto]=tIngredientes[[#This Row],[Mantimento]],0)</f>
        <v>0</v>
      </c>
      <c r="I149" s="27" cm="1">
        <f t="array" ref="I149">IF(tIngredientes[[#This Row],[Manter stock]]=0,1,IF(_xlfn._xlws.FILTER(tSemanal[Somar a quantidade à lista das receitas],tSemanal[Produto]=tIngredientes[[#This Row],[Mantimento]],"")="X",1,0))</f>
        <v>1</v>
      </c>
      <c r="J149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49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49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49" s="9" t="s">
        <v>376</v>
      </c>
      <c r="N149" s="9" t="s">
        <v>260</v>
      </c>
    </row>
    <row r="150" spans="1:14" x14ac:dyDescent="0.2">
      <c r="A150" s="15">
        <f>IF(SUM(H150,J150:L150)=0,"",IF(ISNUMBER(SEARCH("E",E150)),tIngredientes[[#This Row],[Manter stock]]+tIngredientes[[#This Row],[Adicionar stock à lista das receitas]]*(J150+IFERROR(_xlfn.CEILING.MATH(K150/F150)+_xlfn.CEILING.MATH(L150/F150),0)),IF(E150="U",tIngredientes[[#This Row],[Manter stock]]+_xlfn.CEILING.MATH(tIngredientes[[#This Row],[Adicionar stock à lista das receitas]]*K150),IF(E150="M",tIngredientes[[#This Row],[Manter stock]]+tIngredientes[[#This Row],[Adicionar stock à lista das receitas]]*L150&amp;G150,"ERRO"))))</f>
        <v>1</v>
      </c>
      <c r="B150" s="9" t="s">
        <v>377</v>
      </c>
      <c r="C150" s="9" t="s">
        <v>59</v>
      </c>
      <c r="D150" s="9" t="s">
        <v>233</v>
      </c>
      <c r="E150" s="24" t="s">
        <v>234</v>
      </c>
      <c r="F150" s="12">
        <v>750</v>
      </c>
      <c r="G150" s="12" t="s">
        <v>244</v>
      </c>
      <c r="H150" s="25" cm="1">
        <f t="array" ref="H150">_xlfn._xlws.FILTER(tSemanal[Q],tSemanal[Produto]=tIngredientes[[#This Row],[Mantimento]],0)</f>
        <v>0</v>
      </c>
      <c r="I150" s="27" cm="1">
        <f t="array" ref="I150">IF(tIngredientes[[#This Row],[Manter stock]]=0,1,IF(_xlfn._xlws.FILTER(tSemanal[Somar a quantidade à lista das receitas],tSemanal[Produto]=tIngredientes[[#This Row],[Mantimento]],"")="X",1,0))</f>
        <v>1</v>
      </c>
      <c r="J150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50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50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100</v>
      </c>
      <c r="M150" s="9" t="s">
        <v>378</v>
      </c>
      <c r="N150" s="9" t="s">
        <v>260</v>
      </c>
    </row>
    <row r="151" spans="1:14" x14ac:dyDescent="0.2">
      <c r="A151" s="15" t="str">
        <f>IF(SUM(H151,J151:L151)=0,"",IF(ISNUMBER(SEARCH("E",E151)),tIngredientes[[#This Row],[Manter stock]]+tIngredientes[[#This Row],[Adicionar stock à lista das receitas]]*(J151+IFERROR(_xlfn.CEILING.MATH(K151/F151)+_xlfn.CEILING.MATH(L151/F151),0)),IF(E151="U",tIngredientes[[#This Row],[Manter stock]]+_xlfn.CEILING.MATH(tIngredientes[[#This Row],[Adicionar stock à lista das receitas]]*K151),IF(E151="M",tIngredientes[[#This Row],[Manter stock]]+tIngredientes[[#This Row],[Adicionar stock à lista das receitas]]*L151&amp;G151,"ERRO"))))</f>
        <v/>
      </c>
      <c r="B151" s="9" t="s">
        <v>67</v>
      </c>
      <c r="C151" s="9" t="s">
        <v>59</v>
      </c>
      <c r="D151" s="9" t="s">
        <v>233</v>
      </c>
      <c r="E151" s="24" t="s">
        <v>234</v>
      </c>
      <c r="F151" s="12">
        <v>750</v>
      </c>
      <c r="G151" s="12" t="s">
        <v>244</v>
      </c>
      <c r="H151" s="25" cm="1">
        <f t="array" ref="H151">_xlfn._xlws.FILTER(tSemanal[Q],tSemanal[Produto]=tIngredientes[[#This Row],[Mantimento]],0)</f>
        <v>0</v>
      </c>
      <c r="I151" s="27" cm="1">
        <f t="array" ref="I151">IF(tIngredientes[[#This Row],[Manter stock]]=0,1,IF(_xlfn._xlws.FILTER(tSemanal[Somar a quantidade à lista das receitas],tSemanal[Produto]=tIngredientes[[#This Row],[Mantimento]],"")="X",1,0))</f>
        <v>1</v>
      </c>
      <c r="J151" s="42">
        <f>SUMIFS(tPorReceita[Quantidade],tPorReceita[Mantimento],"="&amp;tIngredientes[[#This Row],[Mantimento]],tPorReceita[Data],"&gt;="&amp;iPeriodoDeRefeições,tPorReceita[Data],"&lt;="&amp;fPeriodoDeRefeições,tPorReceita[Medida],"=emb")</f>
        <v>0</v>
      </c>
      <c r="K151" s="42">
        <f>SUMIFS(tPorReceita[Quantidade],tPorReceita[Mantimento],"="&amp;tIngredientes[[#This Row],[Mantimento]],tPorReceita[Data],"&gt;="&amp;iPeriodoDeRefeições,tPorReceita[Data],"&lt;="&amp;fPeriodoDeRefeições,tPorReceita[Medida],"=un")</f>
        <v>0</v>
      </c>
      <c r="L151" s="42">
        <f>SUMIFS(tPorReceita[Quantidade],tPorReceita[Mantimento],"="&amp;tIngredientes[[#This Row],[Mantimento]],tPorReceita[Data],"&gt;="&amp;iPeriodoDeRefeições,tPorReceita[Data],"&lt;="&amp;fPeriodoDeRefeições,tPorReceita[Medida],"&lt;&gt;emb",tPorReceita[Medida],"&lt;&gt;un",tPorReceita[Medida],"&lt;&gt;qb")</f>
        <v>0</v>
      </c>
      <c r="M151" s="9" t="s">
        <v>379</v>
      </c>
      <c r="N151" s="9" t="s">
        <v>260</v>
      </c>
    </row>
  </sheetData>
  <dataValidations count="5">
    <dataValidation type="list" allowBlank="1" showInputMessage="1" showErrorMessage="1" sqref="E2:E151" xr:uid="{8BC8F56A-C063-45C5-9F00-CCB901592A31}">
      <formula1>$S$2:$S$5</formula1>
    </dataValidation>
    <dataValidation type="list" allowBlank="1" showInputMessage="1" showErrorMessage="1" sqref="G2:G151" xr:uid="{B95D5085-9F25-4FC5-BC05-49C7404374C7}">
      <formula1>$T$2:$T$4</formula1>
    </dataValidation>
    <dataValidation type="list" allowBlank="1" showInputMessage="1" showErrorMessage="1" sqref="D2:D151" xr:uid="{C4F1D7E4-4655-495F-AC45-A67888C3E7D7}">
      <formula1>"Supermercado, Talho"</formula1>
    </dataValidation>
    <dataValidation type="list" allowBlank="1" showInputMessage="1" showErrorMessage="1" sqref="C2:C151" xr:uid="{F12F084E-A102-458A-8755-E7F6D505C641}">
      <formula1>$R$2:$R$9</formula1>
    </dataValidation>
    <dataValidation type="list" allowBlank="1" showInputMessage="1" showErrorMessage="1" sqref="N2:N151" xr:uid="{486AF65C-AD88-4A53-9777-311A65A9D415}">
      <formula1>Categorias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0379-DE95-4131-BC7E-B3F4C3BC8D28}">
  <sheetPr codeName="Sheet5"/>
  <dimension ref="A1:E483"/>
  <sheetViews>
    <sheetView tabSelected="1" topLeftCell="A448" workbookViewId="0">
      <selection activeCell="A417" sqref="A417:XFD417"/>
    </sheetView>
  </sheetViews>
  <sheetFormatPr defaultColWidth="9.28515625" defaultRowHeight="12.75" x14ac:dyDescent="0.2"/>
  <cols>
    <col min="1" max="1" width="37.140625" style="9" customWidth="1"/>
    <col min="2" max="2" width="12.140625" style="9" customWidth="1"/>
    <col min="3" max="3" width="8.7109375" style="9" customWidth="1"/>
    <col min="4" max="4" width="23.85546875" style="9" customWidth="1"/>
    <col min="5" max="5" width="15" style="14" customWidth="1"/>
    <col min="6" max="16384" width="9.28515625" style="9"/>
  </cols>
  <sheetData>
    <row r="1" spans="1:5" s="8" customFormat="1" x14ac:dyDescent="0.2">
      <c r="A1" s="8" t="s">
        <v>380</v>
      </c>
      <c r="B1" s="8" t="s">
        <v>221</v>
      </c>
      <c r="C1" s="8" t="s">
        <v>381</v>
      </c>
      <c r="D1" s="8" t="s">
        <v>216</v>
      </c>
      <c r="E1" s="13" t="s">
        <v>382</v>
      </c>
    </row>
    <row r="2" spans="1:5" x14ac:dyDescent="0.2">
      <c r="A2" s="9" t="s">
        <v>212</v>
      </c>
      <c r="B2" s="9">
        <v>10</v>
      </c>
      <c r="C2" s="9" t="s">
        <v>235</v>
      </c>
      <c r="D2" s="9" t="s">
        <v>100</v>
      </c>
      <c r="E2" s="14">
        <f>_xlfn.IFNA(INDEX(Receitas!C:C,MATCH(A2,Receitas!F:F,0)),"")</f>
        <v>46144</v>
      </c>
    </row>
    <row r="3" spans="1:5" x14ac:dyDescent="0.2">
      <c r="A3" s="9" t="s">
        <v>212</v>
      </c>
      <c r="B3" s="9">
        <v>12</v>
      </c>
      <c r="C3" s="9" t="s">
        <v>237</v>
      </c>
      <c r="D3" s="9" t="s">
        <v>212</v>
      </c>
      <c r="E3" s="14">
        <f>_xlfn.IFNA(INDEX(Receitas!C:C,MATCH(A3,Receitas!F:F,0)),"")</f>
        <v>46144</v>
      </c>
    </row>
    <row r="4" spans="1:5" x14ac:dyDescent="0.2">
      <c r="A4" s="9" t="s">
        <v>212</v>
      </c>
      <c r="B4" s="9">
        <v>50</v>
      </c>
      <c r="C4" s="9" t="s">
        <v>244</v>
      </c>
      <c r="D4" s="9" t="s">
        <v>58</v>
      </c>
      <c r="E4" s="14">
        <f>_xlfn.IFNA(INDEX(Receitas!C:C,MATCH(A4,Receitas!F:F,0)),"")</f>
        <v>46144</v>
      </c>
    </row>
    <row r="5" spans="1:5" x14ac:dyDescent="0.2">
      <c r="A5" s="9" t="s">
        <v>212</v>
      </c>
      <c r="B5" s="9">
        <v>100</v>
      </c>
      <c r="C5" s="9" t="s">
        <v>235</v>
      </c>
      <c r="D5" s="9" t="s">
        <v>103</v>
      </c>
      <c r="E5" s="14">
        <f>_xlfn.IFNA(INDEX(Receitas!C:C,MATCH(A5,Receitas!F:F,0)),"")</f>
        <v>46144</v>
      </c>
    </row>
    <row r="6" spans="1:5" x14ac:dyDescent="0.2">
      <c r="A6" s="9" t="s">
        <v>212</v>
      </c>
      <c r="B6" s="9">
        <v>1</v>
      </c>
      <c r="C6" s="9" t="s">
        <v>383</v>
      </c>
      <c r="D6" s="9" t="s">
        <v>329</v>
      </c>
      <c r="E6" s="14">
        <f>_xlfn.IFNA(INDEX(Receitas!C:C,MATCH(A6,Receitas!F:F,0)),"")</f>
        <v>46144</v>
      </c>
    </row>
    <row r="7" spans="1:5" x14ac:dyDescent="0.2">
      <c r="A7" s="9" t="s">
        <v>212</v>
      </c>
      <c r="B7" s="9">
        <v>1</v>
      </c>
      <c r="C7" s="9" t="s">
        <v>383</v>
      </c>
      <c r="D7" s="9" t="s">
        <v>344</v>
      </c>
      <c r="E7" s="14">
        <f>_xlfn.IFNA(INDEX(Receitas!C:C,MATCH(A7,Receitas!F:F,0)),"")</f>
        <v>46144</v>
      </c>
    </row>
    <row r="8" spans="1:5" x14ac:dyDescent="0.2">
      <c r="A8" s="9" t="s">
        <v>212</v>
      </c>
      <c r="B8" s="9">
        <v>1</v>
      </c>
      <c r="C8" s="9" t="s">
        <v>383</v>
      </c>
      <c r="D8" s="9" t="s">
        <v>362</v>
      </c>
      <c r="E8" s="14">
        <f>_xlfn.IFNA(INDEX(Receitas!C:C,MATCH(A8,Receitas!F:F,0)),"")</f>
        <v>46144</v>
      </c>
    </row>
    <row r="9" spans="1:5" x14ac:dyDescent="0.2">
      <c r="A9" s="9" t="s">
        <v>212</v>
      </c>
      <c r="B9" s="9">
        <v>100</v>
      </c>
      <c r="C9" s="9" t="s">
        <v>235</v>
      </c>
      <c r="D9" s="9" t="s">
        <v>57</v>
      </c>
      <c r="E9" s="14">
        <f>_xlfn.IFNA(INDEX(Receitas!C:C,MATCH(A9,Receitas!F:F,0)),"")</f>
        <v>46144</v>
      </c>
    </row>
    <row r="10" spans="1:5" x14ac:dyDescent="0.2">
      <c r="A10" s="9" t="s">
        <v>212</v>
      </c>
      <c r="B10" s="9">
        <v>100</v>
      </c>
      <c r="C10" s="9" t="s">
        <v>254</v>
      </c>
      <c r="D10" s="9" t="s">
        <v>66</v>
      </c>
      <c r="E10" s="14">
        <f>_xlfn.IFNA(INDEX(Receitas!C:C,MATCH(A10,Receitas!F:F,0)),"")</f>
        <v>46144</v>
      </c>
    </row>
    <row r="11" spans="1:5" x14ac:dyDescent="0.2">
      <c r="A11" s="9" t="s">
        <v>171</v>
      </c>
      <c r="B11" s="9">
        <v>10</v>
      </c>
      <c r="C11" s="9" t="s">
        <v>235</v>
      </c>
      <c r="D11" s="9" t="s">
        <v>100</v>
      </c>
      <c r="E11" s="14" t="str">
        <f>_xlfn.IFNA(INDEX(Receitas!C:C,MATCH(A11,Receitas!F:F,0)),"")</f>
        <v/>
      </c>
    </row>
    <row r="12" spans="1:5" x14ac:dyDescent="0.2">
      <c r="A12" s="9" t="s">
        <v>171</v>
      </c>
      <c r="B12" s="9">
        <v>300</v>
      </c>
      <c r="C12" s="9" t="s">
        <v>235</v>
      </c>
      <c r="D12" s="9" t="s">
        <v>70</v>
      </c>
      <c r="E12" s="14" t="str">
        <f>_xlfn.IFNA(INDEX(Receitas!C:C,MATCH(A12,Receitas!F:F,0)),"")</f>
        <v/>
      </c>
    </row>
    <row r="13" spans="1:5" x14ac:dyDescent="0.2">
      <c r="A13" s="9" t="s">
        <v>171</v>
      </c>
      <c r="B13" s="9">
        <v>4</v>
      </c>
      <c r="C13" s="9" t="s">
        <v>384</v>
      </c>
      <c r="D13" s="9" t="s">
        <v>78</v>
      </c>
      <c r="E13" s="14" t="str">
        <f>_xlfn.IFNA(INDEX(Receitas!C:C,MATCH(A13,Receitas!F:F,0)),"")</f>
        <v/>
      </c>
    </row>
    <row r="14" spans="1:5" x14ac:dyDescent="0.2">
      <c r="A14" s="9" t="s">
        <v>171</v>
      </c>
      <c r="B14" s="9">
        <v>100</v>
      </c>
      <c r="C14" s="9" t="s">
        <v>235</v>
      </c>
      <c r="D14" s="9" t="s">
        <v>103</v>
      </c>
      <c r="E14" s="14" t="str">
        <f>_xlfn.IFNA(INDEX(Receitas!C:C,MATCH(A14,Receitas!F:F,0)),"")</f>
        <v/>
      </c>
    </row>
    <row r="15" spans="1:5" x14ac:dyDescent="0.2">
      <c r="A15" s="9" t="s">
        <v>171</v>
      </c>
      <c r="B15" s="9">
        <v>1</v>
      </c>
      <c r="C15" s="9" t="s">
        <v>383</v>
      </c>
      <c r="D15" s="9" t="s">
        <v>344</v>
      </c>
      <c r="E15" s="14" t="str">
        <f>_xlfn.IFNA(INDEX(Receitas!C:C,MATCH(A15,Receitas!F:F,0)),"")</f>
        <v/>
      </c>
    </row>
    <row r="16" spans="1:5" x14ac:dyDescent="0.2">
      <c r="A16" s="9" t="s">
        <v>171</v>
      </c>
      <c r="B16" s="9">
        <v>200</v>
      </c>
      <c r="C16" s="9" t="s">
        <v>244</v>
      </c>
      <c r="D16" s="9" t="s">
        <v>56</v>
      </c>
      <c r="E16" s="14" t="str">
        <f>_xlfn.IFNA(INDEX(Receitas!C:C,MATCH(A16,Receitas!F:F,0)),"")</f>
        <v/>
      </c>
    </row>
    <row r="17" spans="1:5" x14ac:dyDescent="0.2">
      <c r="A17" s="9" t="s">
        <v>171</v>
      </c>
      <c r="B17" s="9">
        <v>1</v>
      </c>
      <c r="C17" s="9" t="s">
        <v>383</v>
      </c>
      <c r="D17" s="9" t="s">
        <v>362</v>
      </c>
      <c r="E17" s="14" t="str">
        <f>_xlfn.IFNA(INDEX(Receitas!C:C,MATCH(A17,Receitas!F:F,0)),"")</f>
        <v/>
      </c>
    </row>
    <row r="18" spans="1:5" x14ac:dyDescent="0.2">
      <c r="A18" s="9" t="s">
        <v>180</v>
      </c>
      <c r="B18" s="9">
        <v>2</v>
      </c>
      <c r="C18" s="9" t="s">
        <v>237</v>
      </c>
      <c r="D18" s="9" t="s">
        <v>68</v>
      </c>
      <c r="E18" s="14">
        <f>_xlfn.IFNA(INDEX(Receitas!C:C,MATCH(A18,Receitas!F:F,0)),"")</f>
        <v>46154</v>
      </c>
    </row>
    <row r="19" spans="1:5" x14ac:dyDescent="0.2">
      <c r="A19" s="9" t="s">
        <v>180</v>
      </c>
      <c r="B19" s="9">
        <v>280</v>
      </c>
      <c r="C19" s="9" t="s">
        <v>235</v>
      </c>
      <c r="D19" s="9" t="s">
        <v>70</v>
      </c>
      <c r="E19" s="14">
        <f>_xlfn.IFNA(INDEX(Receitas!C:C,MATCH(A19,Receitas!F:F,0)),"")</f>
        <v>46154</v>
      </c>
    </row>
    <row r="20" spans="1:5" x14ac:dyDescent="0.2">
      <c r="A20" s="9" t="s">
        <v>180</v>
      </c>
      <c r="B20" s="9">
        <v>30</v>
      </c>
      <c r="C20" s="9" t="s">
        <v>244</v>
      </c>
      <c r="D20" s="9" t="s">
        <v>58</v>
      </c>
      <c r="E20" s="14">
        <f>_xlfn.IFNA(INDEX(Receitas!C:C,MATCH(A20,Receitas!F:F,0)),"")</f>
        <v>46154</v>
      </c>
    </row>
    <row r="21" spans="1:5" x14ac:dyDescent="0.2">
      <c r="A21" s="9" t="s">
        <v>180</v>
      </c>
      <c r="B21" s="9">
        <v>400</v>
      </c>
      <c r="C21" s="9" t="s">
        <v>235</v>
      </c>
      <c r="D21" s="9" t="s">
        <v>257</v>
      </c>
      <c r="E21" s="14">
        <f>_xlfn.IFNA(INDEX(Receitas!C:C,MATCH(A21,Receitas!F:F,0)),"")</f>
        <v>46154</v>
      </c>
    </row>
    <row r="22" spans="1:5" x14ac:dyDescent="0.2">
      <c r="A22" s="9" t="s">
        <v>180</v>
      </c>
      <c r="B22" s="9">
        <v>1</v>
      </c>
      <c r="C22" s="9" t="s">
        <v>237</v>
      </c>
      <c r="D22" s="9" t="s">
        <v>72</v>
      </c>
      <c r="E22" s="14">
        <f>_xlfn.IFNA(INDEX(Receitas!C:C,MATCH(A22,Receitas!F:F,0)),"")</f>
        <v>46154</v>
      </c>
    </row>
    <row r="23" spans="1:5" x14ac:dyDescent="0.2">
      <c r="A23" s="9" t="s">
        <v>180</v>
      </c>
      <c r="B23" s="9">
        <v>1</v>
      </c>
      <c r="C23" s="9" t="s">
        <v>237</v>
      </c>
      <c r="D23" s="9" t="s">
        <v>62</v>
      </c>
      <c r="E23" s="14">
        <f>_xlfn.IFNA(INDEX(Receitas!C:C,MATCH(A23,Receitas!F:F,0)),"")</f>
        <v>46154</v>
      </c>
    </row>
    <row r="24" spans="1:5" x14ac:dyDescent="0.2">
      <c r="A24" s="9" t="s">
        <v>180</v>
      </c>
      <c r="B24" s="9">
        <v>1</v>
      </c>
      <c r="C24" s="9" t="s">
        <v>383</v>
      </c>
      <c r="D24" s="9" t="s">
        <v>344</v>
      </c>
      <c r="E24" s="14">
        <f>_xlfn.IFNA(INDEX(Receitas!C:C,MATCH(A24,Receitas!F:F,0)),"")</f>
        <v>46154</v>
      </c>
    </row>
    <row r="25" spans="1:5" x14ac:dyDescent="0.2">
      <c r="A25" s="9" t="s">
        <v>180</v>
      </c>
      <c r="B25" s="9">
        <v>0.5</v>
      </c>
      <c r="C25" s="9" t="s">
        <v>237</v>
      </c>
      <c r="D25" s="9" t="s">
        <v>346</v>
      </c>
      <c r="E25" s="14">
        <f>_xlfn.IFNA(INDEX(Receitas!C:C,MATCH(A25,Receitas!F:F,0)),"")</f>
        <v>46154</v>
      </c>
    </row>
    <row r="26" spans="1:5" x14ac:dyDescent="0.2">
      <c r="A26" s="9" t="s">
        <v>180</v>
      </c>
      <c r="B26" s="9">
        <v>30</v>
      </c>
      <c r="C26" s="9" t="s">
        <v>244</v>
      </c>
      <c r="D26" s="9" t="s">
        <v>56</v>
      </c>
      <c r="E26" s="14">
        <f>_xlfn.IFNA(INDEX(Receitas!C:C,MATCH(A26,Receitas!F:F,0)),"")</f>
        <v>46154</v>
      </c>
    </row>
    <row r="27" spans="1:5" x14ac:dyDescent="0.2">
      <c r="A27" s="9" t="s">
        <v>180</v>
      </c>
      <c r="B27" s="9">
        <v>1</v>
      </c>
      <c r="C27" s="9" t="s">
        <v>383</v>
      </c>
      <c r="D27" s="9" t="s">
        <v>362</v>
      </c>
      <c r="E27" s="14">
        <f>_xlfn.IFNA(INDEX(Receitas!C:C,MATCH(A27,Receitas!F:F,0)),"")</f>
        <v>46154</v>
      </c>
    </row>
    <row r="28" spans="1:5" x14ac:dyDescent="0.2">
      <c r="A28" s="9" t="s">
        <v>180</v>
      </c>
      <c r="B28" s="9">
        <v>10</v>
      </c>
      <c r="C28" s="9" t="s">
        <v>235</v>
      </c>
      <c r="D28" s="9" t="s">
        <v>363</v>
      </c>
      <c r="E28" s="14">
        <f>_xlfn.IFNA(INDEX(Receitas!C:C,MATCH(A28,Receitas!F:F,0)),"")</f>
        <v>46154</v>
      </c>
    </row>
    <row r="29" spans="1:5" x14ac:dyDescent="0.2">
      <c r="A29" s="9" t="s">
        <v>180</v>
      </c>
      <c r="B29" s="9">
        <v>1</v>
      </c>
      <c r="C29" s="9" t="s">
        <v>384</v>
      </c>
      <c r="D29" s="9" t="s">
        <v>57</v>
      </c>
      <c r="E29" s="14">
        <f>_xlfn.IFNA(INDEX(Receitas!C:C,MATCH(A29,Receitas!F:F,0)),"")</f>
        <v>46154</v>
      </c>
    </row>
    <row r="30" spans="1:5" x14ac:dyDescent="0.2">
      <c r="A30" s="9" t="s">
        <v>180</v>
      </c>
      <c r="B30" s="9">
        <v>125</v>
      </c>
      <c r="C30" s="9" t="s">
        <v>244</v>
      </c>
      <c r="D30" s="9" t="s">
        <v>66</v>
      </c>
      <c r="E30" s="14">
        <f>_xlfn.IFNA(INDEX(Receitas!C:C,MATCH(A30,Receitas!F:F,0)),"")</f>
        <v>46154</v>
      </c>
    </row>
    <row r="31" spans="1:5" x14ac:dyDescent="0.2">
      <c r="A31" s="9" t="s">
        <v>204</v>
      </c>
      <c r="B31" s="9">
        <v>4</v>
      </c>
      <c r="C31" s="9" t="s">
        <v>237</v>
      </c>
      <c r="D31" s="9" t="s">
        <v>68</v>
      </c>
      <c r="E31" s="14">
        <f>_xlfn.IFNA(INDEX(Receitas!C:C,MATCH(A31,Receitas!F:F,0)),"")</f>
        <v>46146</v>
      </c>
    </row>
    <row r="32" spans="1:5" x14ac:dyDescent="0.2">
      <c r="A32" s="9" t="s">
        <v>204</v>
      </c>
      <c r="B32" s="9">
        <v>1</v>
      </c>
      <c r="C32" s="9" t="s">
        <v>383</v>
      </c>
      <c r="D32" s="9" t="s">
        <v>248</v>
      </c>
      <c r="E32" s="14">
        <f>_xlfn.IFNA(INDEX(Receitas!C:C,MATCH(A32,Receitas!F:F,0)),"")</f>
        <v>46146</v>
      </c>
    </row>
    <row r="33" spans="1:5" x14ac:dyDescent="0.2">
      <c r="A33" s="9" t="s">
        <v>204</v>
      </c>
      <c r="B33" s="9">
        <v>300</v>
      </c>
      <c r="C33" s="9" t="s">
        <v>244</v>
      </c>
      <c r="D33" s="9" t="s">
        <v>58</v>
      </c>
      <c r="E33" s="14">
        <f>_xlfn.IFNA(INDEX(Receitas!C:C,MATCH(A33,Receitas!F:F,0)),"")</f>
        <v>46146</v>
      </c>
    </row>
    <row r="34" spans="1:5" x14ac:dyDescent="0.2">
      <c r="A34" s="9" t="s">
        <v>204</v>
      </c>
      <c r="B34" s="9">
        <v>400</v>
      </c>
      <c r="C34" s="9" t="s">
        <v>235</v>
      </c>
      <c r="D34" s="9" t="s">
        <v>257</v>
      </c>
      <c r="E34" s="14">
        <f>_xlfn.IFNA(INDEX(Receitas!C:C,MATCH(A34,Receitas!F:F,0)),"")</f>
        <v>46146</v>
      </c>
    </row>
    <row r="35" spans="1:5" x14ac:dyDescent="0.2">
      <c r="A35" s="9" t="s">
        <v>204</v>
      </c>
      <c r="B35" s="9">
        <v>1</v>
      </c>
      <c r="C35" s="9" t="s">
        <v>237</v>
      </c>
      <c r="D35" s="9" t="s">
        <v>72</v>
      </c>
      <c r="E35" s="14">
        <f>_xlfn.IFNA(INDEX(Receitas!C:C,MATCH(A35,Receitas!F:F,0)),"")</f>
        <v>46146</v>
      </c>
    </row>
    <row r="36" spans="1:5" x14ac:dyDescent="0.2">
      <c r="A36" s="9" t="s">
        <v>204</v>
      </c>
      <c r="B36" s="9">
        <v>1</v>
      </c>
      <c r="C36" s="9" t="s">
        <v>383</v>
      </c>
      <c r="D36" s="9" t="s">
        <v>288</v>
      </c>
      <c r="E36" s="14">
        <f>_xlfn.IFNA(INDEX(Receitas!C:C,MATCH(A36,Receitas!F:F,0)),"")</f>
        <v>46146</v>
      </c>
    </row>
    <row r="37" spans="1:5" x14ac:dyDescent="0.2">
      <c r="A37" s="9" t="s">
        <v>204</v>
      </c>
      <c r="B37" s="9">
        <v>2</v>
      </c>
      <c r="C37" s="9" t="s">
        <v>384</v>
      </c>
      <c r="D37" s="9" t="s">
        <v>80</v>
      </c>
      <c r="E37" s="14">
        <f>_xlfn.IFNA(INDEX(Receitas!C:C,MATCH(A37,Receitas!F:F,0)),"")</f>
        <v>46146</v>
      </c>
    </row>
    <row r="38" spans="1:5" x14ac:dyDescent="0.2">
      <c r="A38" s="9" t="s">
        <v>204</v>
      </c>
      <c r="B38" s="9">
        <v>4</v>
      </c>
      <c r="C38" s="9" t="s">
        <v>237</v>
      </c>
      <c r="D38" s="9" t="s">
        <v>20</v>
      </c>
      <c r="E38" s="14">
        <f>_xlfn.IFNA(INDEX(Receitas!C:C,MATCH(A38,Receitas!F:F,0)),"")</f>
        <v>46146</v>
      </c>
    </row>
    <row r="39" spans="1:5" x14ac:dyDescent="0.2">
      <c r="A39" s="9" t="s">
        <v>204</v>
      </c>
      <c r="B39" s="9">
        <v>1</v>
      </c>
      <c r="C39" s="9" t="s">
        <v>383</v>
      </c>
      <c r="D39" s="9" t="s">
        <v>341</v>
      </c>
      <c r="E39" s="14">
        <f>_xlfn.IFNA(INDEX(Receitas!C:C,MATCH(A39,Receitas!F:F,0)),"")</f>
        <v>46146</v>
      </c>
    </row>
    <row r="40" spans="1:5" x14ac:dyDescent="0.2">
      <c r="A40" s="9" t="s">
        <v>204</v>
      </c>
      <c r="B40" s="9">
        <v>10</v>
      </c>
      <c r="C40" s="9" t="s">
        <v>235</v>
      </c>
      <c r="D40" s="9" t="s">
        <v>363</v>
      </c>
      <c r="E40" s="14">
        <f>_xlfn.IFNA(INDEX(Receitas!C:C,MATCH(A40,Receitas!F:F,0)),"")</f>
        <v>46146</v>
      </c>
    </row>
    <row r="41" spans="1:5" x14ac:dyDescent="0.2">
      <c r="A41" s="9" t="s">
        <v>204</v>
      </c>
      <c r="B41" s="9">
        <v>100</v>
      </c>
      <c r="C41" s="9" t="s">
        <v>244</v>
      </c>
      <c r="D41" s="9" t="s">
        <v>374</v>
      </c>
      <c r="E41" s="14">
        <f>_xlfn.IFNA(INDEX(Receitas!C:C,MATCH(A41,Receitas!F:F,0)),"")</f>
        <v>46146</v>
      </c>
    </row>
    <row r="42" spans="1:5" x14ac:dyDescent="0.2">
      <c r="A42" s="9" t="s">
        <v>181</v>
      </c>
      <c r="B42" s="9">
        <v>1</v>
      </c>
      <c r="C42" s="9" t="s">
        <v>237</v>
      </c>
      <c r="D42" s="9" t="s">
        <v>249</v>
      </c>
      <c r="E42" s="14">
        <f>_xlfn.IFNA(INDEX(Receitas!C:C,MATCH(A42,Receitas!F:F,0)),"")</f>
        <v>46155</v>
      </c>
    </row>
    <row r="43" spans="1:5" x14ac:dyDescent="0.2">
      <c r="A43" s="9" t="s">
        <v>181</v>
      </c>
      <c r="B43" s="9">
        <v>30</v>
      </c>
      <c r="C43" s="9" t="s">
        <v>244</v>
      </c>
      <c r="D43" s="9" t="s">
        <v>58</v>
      </c>
      <c r="E43" s="14">
        <f>_xlfn.IFNA(INDEX(Receitas!C:C,MATCH(A43,Receitas!F:F,0)),"")</f>
        <v>46155</v>
      </c>
    </row>
    <row r="44" spans="1:5" x14ac:dyDescent="0.2">
      <c r="A44" s="9" t="s">
        <v>181</v>
      </c>
      <c r="B44" s="9">
        <v>400</v>
      </c>
      <c r="C44" s="9" t="s">
        <v>235</v>
      </c>
      <c r="D44" s="9" t="s">
        <v>257</v>
      </c>
      <c r="E44" s="14">
        <f>_xlfn.IFNA(INDEX(Receitas!C:C,MATCH(A44,Receitas!F:F,0)),"")</f>
        <v>46155</v>
      </c>
    </row>
    <row r="45" spans="1:5" x14ac:dyDescent="0.2">
      <c r="A45" s="9" t="s">
        <v>181</v>
      </c>
      <c r="B45" s="9">
        <v>400</v>
      </c>
      <c r="C45" s="9" t="s">
        <v>235</v>
      </c>
      <c r="D45" s="9" t="s">
        <v>262</v>
      </c>
      <c r="E45" s="14">
        <f>_xlfn.IFNA(INDEX(Receitas!C:C,MATCH(A45,Receitas!F:F,0)),"")</f>
        <v>46155</v>
      </c>
    </row>
    <row r="46" spans="1:5" x14ac:dyDescent="0.2">
      <c r="A46" s="9" t="s">
        <v>181</v>
      </c>
      <c r="B46" s="9">
        <v>1</v>
      </c>
      <c r="C46" s="9" t="s">
        <v>237</v>
      </c>
      <c r="D46" s="9" t="s">
        <v>72</v>
      </c>
      <c r="E46" s="14">
        <f>_xlfn.IFNA(INDEX(Receitas!C:C,MATCH(A46,Receitas!F:F,0)),"")</f>
        <v>46155</v>
      </c>
    </row>
    <row r="47" spans="1:5" x14ac:dyDescent="0.2">
      <c r="A47" s="9" t="s">
        <v>181</v>
      </c>
      <c r="B47" s="9">
        <v>1</v>
      </c>
      <c r="C47" s="9" t="s">
        <v>237</v>
      </c>
      <c r="D47" s="9" t="s">
        <v>278</v>
      </c>
      <c r="E47" s="14">
        <f>_xlfn.IFNA(INDEX(Receitas!C:C,MATCH(A47,Receitas!F:F,0)),"")</f>
        <v>46155</v>
      </c>
    </row>
    <row r="48" spans="1:5" x14ac:dyDescent="0.2">
      <c r="A48" s="9" t="s">
        <v>181</v>
      </c>
      <c r="B48" s="9">
        <v>60</v>
      </c>
      <c r="C48" s="9" t="s">
        <v>235</v>
      </c>
      <c r="D48" s="9" t="s">
        <v>301</v>
      </c>
      <c r="E48" s="14">
        <f>_xlfn.IFNA(INDEX(Receitas!C:C,MATCH(A48,Receitas!F:F,0)),"")</f>
        <v>46155</v>
      </c>
    </row>
    <row r="49" spans="1:5" x14ac:dyDescent="0.2">
      <c r="A49" s="9" t="s">
        <v>181</v>
      </c>
      <c r="B49" s="9">
        <v>1</v>
      </c>
      <c r="C49" s="9" t="s">
        <v>383</v>
      </c>
      <c r="D49" s="9" t="s">
        <v>93</v>
      </c>
      <c r="E49" s="14">
        <f>_xlfn.IFNA(INDEX(Receitas!C:C,MATCH(A49,Receitas!F:F,0)),"")</f>
        <v>46155</v>
      </c>
    </row>
    <row r="50" spans="1:5" x14ac:dyDescent="0.2">
      <c r="A50" s="9" t="s">
        <v>181</v>
      </c>
      <c r="B50" s="9">
        <v>1</v>
      </c>
      <c r="C50" s="9" t="s">
        <v>383</v>
      </c>
      <c r="D50" s="9" t="s">
        <v>329</v>
      </c>
      <c r="E50" s="14">
        <f>_xlfn.IFNA(INDEX(Receitas!C:C,MATCH(A50,Receitas!F:F,0)),"")</f>
        <v>46155</v>
      </c>
    </row>
    <row r="51" spans="1:5" x14ac:dyDescent="0.2">
      <c r="A51" s="9" t="s">
        <v>181</v>
      </c>
      <c r="B51" s="9">
        <v>1</v>
      </c>
      <c r="C51" s="9" t="s">
        <v>383</v>
      </c>
      <c r="D51" s="9" t="s">
        <v>344</v>
      </c>
      <c r="E51" s="14">
        <f>_xlfn.IFNA(INDEX(Receitas!C:C,MATCH(A51,Receitas!F:F,0)),"")</f>
        <v>46155</v>
      </c>
    </row>
    <row r="52" spans="1:5" x14ac:dyDescent="0.2">
      <c r="A52" s="9" t="s">
        <v>181</v>
      </c>
      <c r="B52" s="9">
        <v>50</v>
      </c>
      <c r="C52" s="9" t="s">
        <v>235</v>
      </c>
      <c r="D52" s="9" t="s">
        <v>358</v>
      </c>
      <c r="E52" s="14">
        <f>_xlfn.IFNA(INDEX(Receitas!C:C,MATCH(A52,Receitas!F:F,0)),"")</f>
        <v>46155</v>
      </c>
    </row>
    <row r="53" spans="1:5" x14ac:dyDescent="0.2">
      <c r="A53" s="9" t="s">
        <v>181</v>
      </c>
      <c r="B53" s="9">
        <v>1</v>
      </c>
      <c r="C53" s="9" t="s">
        <v>383</v>
      </c>
      <c r="D53" s="9" t="s">
        <v>362</v>
      </c>
      <c r="E53" s="14">
        <f>_xlfn.IFNA(INDEX(Receitas!C:C,MATCH(A53,Receitas!F:F,0)),"")</f>
        <v>46155</v>
      </c>
    </row>
    <row r="54" spans="1:5" x14ac:dyDescent="0.2">
      <c r="A54" s="9" t="s">
        <v>385</v>
      </c>
      <c r="B54" s="9">
        <v>2</v>
      </c>
      <c r="C54" s="9" t="s">
        <v>237</v>
      </c>
      <c r="D54" s="9" t="s">
        <v>68</v>
      </c>
      <c r="E54" s="14" t="str">
        <f>_xlfn.IFNA(INDEX(Receitas!C:C,MATCH(A54,Receitas!F:F,0)),"")</f>
        <v/>
      </c>
    </row>
    <row r="55" spans="1:5" x14ac:dyDescent="0.2">
      <c r="A55" s="9" t="s">
        <v>385</v>
      </c>
      <c r="B55" s="9">
        <v>50</v>
      </c>
      <c r="C55" s="9" t="s">
        <v>244</v>
      </c>
      <c r="D55" s="9" t="s">
        <v>58</v>
      </c>
      <c r="E55" s="14" t="str">
        <f>_xlfn.IFNA(INDEX(Receitas!C:C,MATCH(A55,Receitas!F:F,0)),"")</f>
        <v/>
      </c>
    </row>
    <row r="56" spans="1:5" x14ac:dyDescent="0.2">
      <c r="A56" s="9" t="s">
        <v>385</v>
      </c>
      <c r="B56" s="9">
        <v>400</v>
      </c>
      <c r="C56" s="9" t="s">
        <v>235</v>
      </c>
      <c r="D56" s="9" t="s">
        <v>257</v>
      </c>
      <c r="E56" s="14" t="str">
        <f>_xlfn.IFNA(INDEX(Receitas!C:C,MATCH(A56,Receitas!F:F,0)),"")</f>
        <v/>
      </c>
    </row>
    <row r="57" spans="1:5" x14ac:dyDescent="0.2">
      <c r="A57" s="9" t="s">
        <v>385</v>
      </c>
      <c r="B57" s="9">
        <v>600</v>
      </c>
      <c r="C57" s="9" t="s">
        <v>235</v>
      </c>
      <c r="D57" s="9" t="s">
        <v>37</v>
      </c>
      <c r="E57" s="14" t="str">
        <f>_xlfn.IFNA(INDEX(Receitas!C:C,MATCH(A57,Receitas!F:F,0)),"")</f>
        <v/>
      </c>
    </row>
    <row r="58" spans="1:5" x14ac:dyDescent="0.2">
      <c r="A58" s="9" t="s">
        <v>385</v>
      </c>
      <c r="B58" s="9">
        <v>2</v>
      </c>
      <c r="C58" s="9" t="s">
        <v>237</v>
      </c>
      <c r="D58" s="9" t="s">
        <v>72</v>
      </c>
      <c r="E58" s="14" t="str">
        <f>_xlfn.IFNA(INDEX(Receitas!C:C,MATCH(A58,Receitas!F:F,0)),"")</f>
        <v/>
      </c>
    </row>
    <row r="59" spans="1:5" x14ac:dyDescent="0.2">
      <c r="A59" s="9" t="s">
        <v>385</v>
      </c>
      <c r="B59" s="9">
        <v>70</v>
      </c>
      <c r="C59" s="9" t="s">
        <v>235</v>
      </c>
      <c r="D59" s="9" t="s">
        <v>301</v>
      </c>
      <c r="E59" s="14" t="str">
        <f>_xlfn.IFNA(INDEX(Receitas!C:C,MATCH(A59,Receitas!F:F,0)),"")</f>
        <v/>
      </c>
    </row>
    <row r="60" spans="1:5" x14ac:dyDescent="0.2">
      <c r="A60" s="9" t="s">
        <v>385</v>
      </c>
      <c r="B60" s="9">
        <v>800</v>
      </c>
      <c r="C60" s="9" t="s">
        <v>244</v>
      </c>
      <c r="D60" s="9" t="s">
        <v>93</v>
      </c>
      <c r="E60" s="14" t="str">
        <f>_xlfn.IFNA(INDEX(Receitas!C:C,MATCH(A60,Receitas!F:F,0)),"")</f>
        <v/>
      </c>
    </row>
    <row r="61" spans="1:5" x14ac:dyDescent="0.2">
      <c r="A61" s="9" t="s">
        <v>385</v>
      </c>
      <c r="B61" s="9">
        <v>30</v>
      </c>
      <c r="C61" s="9" t="s">
        <v>235</v>
      </c>
      <c r="D61" s="9" t="s">
        <v>96</v>
      </c>
      <c r="E61" s="14" t="str">
        <f>_xlfn.IFNA(INDEX(Receitas!C:C,MATCH(A61,Receitas!F:F,0)),"")</f>
        <v/>
      </c>
    </row>
    <row r="62" spans="1:5" x14ac:dyDescent="0.2">
      <c r="A62" s="9" t="s">
        <v>385</v>
      </c>
      <c r="B62" s="9">
        <v>200</v>
      </c>
      <c r="C62" s="9" t="s">
        <v>244</v>
      </c>
      <c r="D62" s="9" t="s">
        <v>54</v>
      </c>
      <c r="E62" s="14" t="str">
        <f>_xlfn.IFNA(INDEX(Receitas!C:C,MATCH(A62,Receitas!F:F,0)),"")</f>
        <v/>
      </c>
    </row>
    <row r="63" spans="1:5" x14ac:dyDescent="0.2">
      <c r="A63" s="9" t="s">
        <v>385</v>
      </c>
      <c r="B63" s="9">
        <v>1</v>
      </c>
      <c r="C63" s="9" t="s">
        <v>383</v>
      </c>
      <c r="D63" s="9" t="s">
        <v>329</v>
      </c>
      <c r="E63" s="14" t="str">
        <f>_xlfn.IFNA(INDEX(Receitas!C:C,MATCH(A63,Receitas!F:F,0)),"")</f>
        <v/>
      </c>
    </row>
    <row r="64" spans="1:5" x14ac:dyDescent="0.2">
      <c r="A64" s="9" t="s">
        <v>385</v>
      </c>
      <c r="B64" s="9">
        <v>1</v>
      </c>
      <c r="C64" s="9" t="s">
        <v>383</v>
      </c>
      <c r="D64" s="9" t="s">
        <v>344</v>
      </c>
      <c r="E64" s="14" t="str">
        <f>_xlfn.IFNA(INDEX(Receitas!C:C,MATCH(A64,Receitas!F:F,0)),"")</f>
        <v/>
      </c>
    </row>
    <row r="65" spans="1:5" x14ac:dyDescent="0.2">
      <c r="A65" s="9" t="s">
        <v>385</v>
      </c>
      <c r="B65" s="9">
        <v>1</v>
      </c>
      <c r="C65" s="9" t="s">
        <v>383</v>
      </c>
      <c r="D65" s="9" t="s">
        <v>362</v>
      </c>
      <c r="E65" s="14" t="str">
        <f>_xlfn.IFNA(INDEX(Receitas!C:C,MATCH(A65,Receitas!F:F,0)),"")</f>
        <v/>
      </c>
    </row>
    <row r="66" spans="1:5" x14ac:dyDescent="0.2">
      <c r="A66" s="9" t="s">
        <v>161</v>
      </c>
      <c r="B66" s="9">
        <v>4</v>
      </c>
      <c r="C66" s="9" t="s">
        <v>237</v>
      </c>
      <c r="D66" s="9" t="s">
        <v>68</v>
      </c>
      <c r="E66" s="14" t="str">
        <f>_xlfn.IFNA(INDEX(Receitas!C:C,MATCH(A66,Receitas!F:F,0)),"")</f>
        <v/>
      </c>
    </row>
    <row r="67" spans="1:5" x14ac:dyDescent="0.2">
      <c r="A67" s="9" t="s">
        <v>161</v>
      </c>
      <c r="B67" s="9">
        <v>100</v>
      </c>
      <c r="C67" s="9" t="s">
        <v>244</v>
      </c>
      <c r="D67" s="9" t="s">
        <v>58</v>
      </c>
      <c r="E67" s="14" t="str">
        <f>_xlfn.IFNA(INDEX(Receitas!C:C,MATCH(A67,Receitas!F:F,0)),"")</f>
        <v/>
      </c>
    </row>
    <row r="68" spans="1:5" x14ac:dyDescent="0.2">
      <c r="A68" s="9" t="s">
        <v>161</v>
      </c>
      <c r="B68" s="9">
        <v>50</v>
      </c>
      <c r="C68" s="9" t="s">
        <v>235</v>
      </c>
      <c r="D68" s="9" t="s">
        <v>60</v>
      </c>
      <c r="E68" s="14" t="str">
        <f>_xlfn.IFNA(INDEX(Receitas!C:C,MATCH(A68,Receitas!F:F,0)),"")</f>
        <v/>
      </c>
    </row>
    <row r="69" spans="1:5" x14ac:dyDescent="0.2">
      <c r="A69" s="9" t="s">
        <v>161</v>
      </c>
      <c r="B69" s="9">
        <v>400</v>
      </c>
      <c r="C69" s="9" t="s">
        <v>235</v>
      </c>
      <c r="D69" s="9" t="s">
        <v>257</v>
      </c>
      <c r="E69" s="14" t="str">
        <f>_xlfn.IFNA(INDEX(Receitas!C:C,MATCH(A69,Receitas!F:F,0)),"")</f>
        <v/>
      </c>
    </row>
    <row r="70" spans="1:5" x14ac:dyDescent="0.2">
      <c r="A70" s="9" t="s">
        <v>161</v>
      </c>
      <c r="B70" s="9">
        <v>100</v>
      </c>
      <c r="C70" s="9" t="s">
        <v>235</v>
      </c>
      <c r="D70" s="9" t="s">
        <v>72</v>
      </c>
      <c r="E70" s="14" t="str">
        <f>_xlfn.IFNA(INDEX(Receitas!C:C,MATCH(A70,Receitas!F:F,0)),"")</f>
        <v/>
      </c>
    </row>
    <row r="71" spans="1:5" x14ac:dyDescent="0.2">
      <c r="A71" s="9" t="s">
        <v>161</v>
      </c>
      <c r="B71" s="9">
        <v>300</v>
      </c>
      <c r="C71" s="9" t="s">
        <v>244</v>
      </c>
      <c r="D71" s="9" t="s">
        <v>93</v>
      </c>
      <c r="E71" s="14" t="str">
        <f>_xlfn.IFNA(INDEX(Receitas!C:C,MATCH(A71,Receitas!F:F,0)),"")</f>
        <v/>
      </c>
    </row>
    <row r="72" spans="1:5" x14ac:dyDescent="0.2">
      <c r="A72" s="9" t="s">
        <v>161</v>
      </c>
      <c r="B72" s="9">
        <v>100</v>
      </c>
      <c r="C72" s="9" t="s">
        <v>235</v>
      </c>
      <c r="D72" s="9" t="s">
        <v>96</v>
      </c>
      <c r="E72" s="14" t="str">
        <f>_xlfn.IFNA(INDEX(Receitas!C:C,MATCH(A72,Receitas!F:F,0)),"")</f>
        <v/>
      </c>
    </row>
    <row r="73" spans="1:5" x14ac:dyDescent="0.2">
      <c r="A73" s="9" t="s">
        <v>161</v>
      </c>
      <c r="B73" s="9">
        <v>1</v>
      </c>
      <c r="C73" s="9" t="s">
        <v>383</v>
      </c>
      <c r="D73" s="9" t="s">
        <v>329</v>
      </c>
      <c r="E73" s="14" t="str">
        <f>_xlfn.IFNA(INDEX(Receitas!C:C,MATCH(A73,Receitas!F:F,0)),"")</f>
        <v/>
      </c>
    </row>
    <row r="74" spans="1:5" x14ac:dyDescent="0.2">
      <c r="A74" s="9" t="s">
        <v>161</v>
      </c>
      <c r="B74" s="9">
        <v>1000</v>
      </c>
      <c r="C74" s="9" t="s">
        <v>235</v>
      </c>
      <c r="D74" s="9" t="s">
        <v>110</v>
      </c>
      <c r="E74" s="14" t="str">
        <f>_xlfn.IFNA(INDEX(Receitas!C:C,MATCH(A74,Receitas!F:F,0)),"")</f>
        <v/>
      </c>
    </row>
    <row r="75" spans="1:5" x14ac:dyDescent="0.2">
      <c r="A75" s="9" t="s">
        <v>161</v>
      </c>
      <c r="B75" s="9">
        <v>20</v>
      </c>
      <c r="C75" s="9" t="s">
        <v>235</v>
      </c>
      <c r="D75" s="9" t="s">
        <v>363</v>
      </c>
      <c r="E75" s="14" t="str">
        <f>_xlfn.IFNA(INDEX(Receitas!C:C,MATCH(A75,Receitas!F:F,0)),"")</f>
        <v/>
      </c>
    </row>
    <row r="76" spans="1:5" x14ac:dyDescent="0.2">
      <c r="A76" s="9" t="s">
        <v>174</v>
      </c>
      <c r="B76" s="9">
        <v>800</v>
      </c>
      <c r="C76" s="9" t="s">
        <v>235</v>
      </c>
      <c r="D76" s="9" t="s">
        <v>265</v>
      </c>
      <c r="E76" s="14">
        <f>_xlfn.IFNA(INDEX(Receitas!C:C,MATCH(A76,Receitas!F:F,0)),"")</f>
        <v>46157</v>
      </c>
    </row>
    <row r="77" spans="1:5" x14ac:dyDescent="0.2">
      <c r="A77" s="9" t="s">
        <v>174</v>
      </c>
      <c r="B77" s="9">
        <v>1</v>
      </c>
      <c r="C77" s="9" t="s">
        <v>237</v>
      </c>
      <c r="D77" s="9" t="s">
        <v>94</v>
      </c>
      <c r="E77" s="14">
        <f>_xlfn.IFNA(INDEX(Receitas!C:C,MATCH(A77,Receitas!F:F,0)),"")</f>
        <v>46157</v>
      </c>
    </row>
    <row r="78" spans="1:5" x14ac:dyDescent="0.2">
      <c r="A78" s="9" t="s">
        <v>174</v>
      </c>
      <c r="B78" s="9">
        <v>50</v>
      </c>
      <c r="C78" s="9" t="s">
        <v>235</v>
      </c>
      <c r="D78" s="9" t="s">
        <v>96</v>
      </c>
      <c r="E78" s="14">
        <f>_xlfn.IFNA(INDEX(Receitas!C:C,MATCH(A78,Receitas!F:F,0)),"")</f>
        <v>46157</v>
      </c>
    </row>
    <row r="79" spans="1:5" x14ac:dyDescent="0.2">
      <c r="A79" s="9" t="s">
        <v>174</v>
      </c>
      <c r="B79" s="9">
        <v>3</v>
      </c>
      <c r="C79" s="9" t="s">
        <v>384</v>
      </c>
      <c r="D79" s="9" t="s">
        <v>54</v>
      </c>
      <c r="E79" s="14">
        <f>_xlfn.IFNA(INDEX(Receitas!C:C,MATCH(A79,Receitas!F:F,0)),"")</f>
        <v>46157</v>
      </c>
    </row>
    <row r="80" spans="1:5" x14ac:dyDescent="0.2">
      <c r="A80" s="9" t="s">
        <v>174</v>
      </c>
      <c r="B80" s="9">
        <v>1</v>
      </c>
      <c r="C80" s="9" t="s">
        <v>383</v>
      </c>
      <c r="D80" s="9" t="s">
        <v>343</v>
      </c>
      <c r="E80" s="14">
        <f>_xlfn.IFNA(INDEX(Receitas!C:C,MATCH(A80,Receitas!F:F,0)),"")</f>
        <v>46157</v>
      </c>
    </row>
    <row r="81" spans="1:5" x14ac:dyDescent="0.2">
      <c r="A81" s="9" t="s">
        <v>174</v>
      </c>
      <c r="B81" s="9">
        <v>1</v>
      </c>
      <c r="C81" s="9" t="s">
        <v>383</v>
      </c>
      <c r="D81" s="9" t="s">
        <v>362</v>
      </c>
      <c r="E81" s="14">
        <f>_xlfn.IFNA(INDEX(Receitas!C:C,MATCH(A81,Receitas!F:F,0)),"")</f>
        <v>46157</v>
      </c>
    </row>
    <row r="82" spans="1:5" x14ac:dyDescent="0.2">
      <c r="A82" s="9" t="s">
        <v>206</v>
      </c>
      <c r="B82" s="9">
        <v>800</v>
      </c>
      <c r="C82" s="9" t="s">
        <v>235</v>
      </c>
      <c r="D82" s="9" t="s">
        <v>269</v>
      </c>
      <c r="E82" s="14">
        <f>_xlfn.IFNA(INDEX(Receitas!C:C,MATCH(A82,Receitas!F:F,0)),"")</f>
        <v>46169</v>
      </c>
    </row>
    <row r="83" spans="1:5" x14ac:dyDescent="0.2">
      <c r="A83" s="9" t="s">
        <v>206</v>
      </c>
      <c r="B83" s="9">
        <v>100</v>
      </c>
      <c r="C83" s="9" t="s">
        <v>235</v>
      </c>
      <c r="D83" s="9" t="s">
        <v>143</v>
      </c>
      <c r="E83" s="14">
        <f>_xlfn.IFNA(INDEX(Receitas!C:C,MATCH(A83,Receitas!F:F,0)),"")</f>
        <v>46169</v>
      </c>
    </row>
    <row r="84" spans="1:5" x14ac:dyDescent="0.2">
      <c r="A84" s="9" t="s">
        <v>206</v>
      </c>
      <c r="B84" s="9">
        <v>1</v>
      </c>
      <c r="C84" s="9" t="s">
        <v>237</v>
      </c>
      <c r="D84" s="9" t="s">
        <v>94</v>
      </c>
      <c r="E84" s="14">
        <f>_xlfn.IFNA(INDEX(Receitas!C:C,MATCH(A84,Receitas!F:F,0)),"")</f>
        <v>46169</v>
      </c>
    </row>
    <row r="85" spans="1:5" x14ac:dyDescent="0.2">
      <c r="A85" s="9" t="s">
        <v>206</v>
      </c>
      <c r="B85" s="9">
        <v>100</v>
      </c>
      <c r="C85" s="9" t="s">
        <v>235</v>
      </c>
      <c r="D85" s="9" t="s">
        <v>96</v>
      </c>
      <c r="E85" s="14">
        <f>_xlfn.IFNA(INDEX(Receitas!C:C,MATCH(A85,Receitas!F:F,0)),"")</f>
        <v>46169</v>
      </c>
    </row>
    <row r="86" spans="1:5" x14ac:dyDescent="0.2">
      <c r="A86" s="9" t="s">
        <v>206</v>
      </c>
      <c r="B86" s="9">
        <v>2</v>
      </c>
      <c r="C86" s="9" t="s">
        <v>384</v>
      </c>
      <c r="D86" s="9" t="s">
        <v>54</v>
      </c>
      <c r="E86" s="14">
        <f>_xlfn.IFNA(INDEX(Receitas!C:C,MATCH(A86,Receitas!F:F,0)),"")</f>
        <v>46169</v>
      </c>
    </row>
    <row r="87" spans="1:5" x14ac:dyDescent="0.2">
      <c r="A87" s="9" t="s">
        <v>206</v>
      </c>
      <c r="B87" s="9">
        <v>1</v>
      </c>
      <c r="C87" s="9" t="s">
        <v>383</v>
      </c>
      <c r="D87" s="9" t="s">
        <v>344</v>
      </c>
      <c r="E87" s="14">
        <f>_xlfn.IFNA(INDEX(Receitas!C:C,MATCH(A87,Receitas!F:F,0)),"")</f>
        <v>46169</v>
      </c>
    </row>
    <row r="88" spans="1:5" x14ac:dyDescent="0.2">
      <c r="A88" s="9" t="s">
        <v>206</v>
      </c>
      <c r="B88" s="9">
        <v>1</v>
      </c>
      <c r="C88" s="9" t="s">
        <v>383</v>
      </c>
      <c r="D88" s="9" t="s">
        <v>362</v>
      </c>
      <c r="E88" s="14">
        <f>_xlfn.IFNA(INDEX(Receitas!C:C,MATCH(A88,Receitas!F:F,0)),"")</f>
        <v>46169</v>
      </c>
    </row>
    <row r="89" spans="1:5" x14ac:dyDescent="0.2">
      <c r="A89" s="9" t="s">
        <v>192</v>
      </c>
      <c r="B89" s="9">
        <v>10</v>
      </c>
      <c r="C89" s="9" t="s">
        <v>235</v>
      </c>
      <c r="D89" s="9" t="s">
        <v>100</v>
      </c>
      <c r="E89" s="14">
        <f>_xlfn.IFNA(INDEX(Receitas!C:C,MATCH(A89,Receitas!F:F,0)),"")</f>
        <v>46135</v>
      </c>
    </row>
    <row r="90" spans="1:5" x14ac:dyDescent="0.2">
      <c r="A90" s="9" t="s">
        <v>192</v>
      </c>
      <c r="B90" s="9">
        <v>800</v>
      </c>
      <c r="C90" s="9" t="s">
        <v>235</v>
      </c>
      <c r="D90" s="9" t="s">
        <v>267</v>
      </c>
      <c r="E90" s="14">
        <f>_xlfn.IFNA(INDEX(Receitas!C:C,MATCH(A90,Receitas!F:F,0)),"")</f>
        <v>46135</v>
      </c>
    </row>
    <row r="91" spans="1:5" x14ac:dyDescent="0.2">
      <c r="A91" s="9" t="s">
        <v>192</v>
      </c>
      <c r="B91" s="9">
        <v>1</v>
      </c>
      <c r="C91" s="9" t="s">
        <v>237</v>
      </c>
      <c r="D91" s="9" t="s">
        <v>94</v>
      </c>
      <c r="E91" s="14">
        <f>_xlfn.IFNA(INDEX(Receitas!C:C,MATCH(A91,Receitas!F:F,0)),"")</f>
        <v>46135</v>
      </c>
    </row>
    <row r="92" spans="1:5" x14ac:dyDescent="0.2">
      <c r="A92" s="9" t="s">
        <v>192</v>
      </c>
      <c r="B92" s="9">
        <v>100</v>
      </c>
      <c r="C92" s="9" t="s">
        <v>235</v>
      </c>
      <c r="D92" s="9" t="s">
        <v>96</v>
      </c>
      <c r="E92" s="14">
        <f>_xlfn.IFNA(INDEX(Receitas!C:C,MATCH(A92,Receitas!F:F,0)),"")</f>
        <v>46135</v>
      </c>
    </row>
    <row r="93" spans="1:5" x14ac:dyDescent="0.2">
      <c r="A93" s="9" t="s">
        <v>192</v>
      </c>
      <c r="B93" s="9">
        <v>1</v>
      </c>
      <c r="C93" s="9" t="s">
        <v>383</v>
      </c>
      <c r="D93" s="9" t="s">
        <v>344</v>
      </c>
      <c r="E93" s="14">
        <f>_xlfn.IFNA(INDEX(Receitas!C:C,MATCH(A93,Receitas!F:F,0)),"")</f>
        <v>46135</v>
      </c>
    </row>
    <row r="94" spans="1:5" x14ac:dyDescent="0.2">
      <c r="A94" s="9" t="s">
        <v>192</v>
      </c>
      <c r="B94" s="9">
        <v>1</v>
      </c>
      <c r="C94" s="9" t="s">
        <v>383</v>
      </c>
      <c r="D94" s="9" t="s">
        <v>362</v>
      </c>
      <c r="E94" s="14">
        <f>_xlfn.IFNA(INDEX(Receitas!C:C,MATCH(A94,Receitas!F:F,0)),"")</f>
        <v>46135</v>
      </c>
    </row>
    <row r="95" spans="1:5" x14ac:dyDescent="0.2">
      <c r="A95" s="9" t="s">
        <v>187</v>
      </c>
      <c r="B95" s="9">
        <v>10</v>
      </c>
      <c r="C95" s="9" t="s">
        <v>235</v>
      </c>
      <c r="D95" s="9" t="s">
        <v>100</v>
      </c>
      <c r="E95" s="14">
        <f>_xlfn.IFNA(INDEX(Receitas!C:C,MATCH(A95,Receitas!F:F,0)),"")</f>
        <v>46152</v>
      </c>
    </row>
    <row r="96" spans="1:5" x14ac:dyDescent="0.2">
      <c r="A96" s="9" t="s">
        <v>187</v>
      </c>
      <c r="B96" s="9">
        <v>30</v>
      </c>
      <c r="C96" s="9" t="s">
        <v>244</v>
      </c>
      <c r="D96" s="9" t="s">
        <v>58</v>
      </c>
      <c r="E96" s="14">
        <f>_xlfn.IFNA(INDEX(Receitas!C:C,MATCH(A96,Receitas!F:F,0)),"")</f>
        <v>46152</v>
      </c>
    </row>
    <row r="97" spans="1:5" x14ac:dyDescent="0.2">
      <c r="A97" s="9" t="s">
        <v>187</v>
      </c>
      <c r="B97" s="9">
        <v>1</v>
      </c>
      <c r="C97" s="9" t="s">
        <v>237</v>
      </c>
      <c r="D97" s="9" t="s">
        <v>61</v>
      </c>
      <c r="E97" s="14">
        <f>_xlfn.IFNA(INDEX(Receitas!C:C,MATCH(A97,Receitas!F:F,0)),"")</f>
        <v>46152</v>
      </c>
    </row>
    <row r="98" spans="1:5" x14ac:dyDescent="0.2">
      <c r="A98" s="9" t="s">
        <v>187</v>
      </c>
      <c r="B98" s="9">
        <v>800</v>
      </c>
      <c r="C98" s="9" t="s">
        <v>235</v>
      </c>
      <c r="D98" s="9" t="s">
        <v>102</v>
      </c>
      <c r="E98" s="14">
        <f>_xlfn.IFNA(INDEX(Receitas!C:C,MATCH(A98,Receitas!F:F,0)),"")</f>
        <v>46152</v>
      </c>
    </row>
    <row r="99" spans="1:5" x14ac:dyDescent="0.2">
      <c r="A99" s="9" t="s">
        <v>187</v>
      </c>
      <c r="B99" s="9">
        <v>100</v>
      </c>
      <c r="C99" s="9" t="s">
        <v>235</v>
      </c>
      <c r="D99" s="9" t="s">
        <v>103</v>
      </c>
      <c r="E99" s="14">
        <f>_xlfn.IFNA(INDEX(Receitas!C:C,MATCH(A99,Receitas!F:F,0)),"")</f>
        <v>46152</v>
      </c>
    </row>
    <row r="100" spans="1:5" x14ac:dyDescent="0.2">
      <c r="A100" s="9" t="s">
        <v>187</v>
      </c>
      <c r="B100" s="9">
        <v>1</v>
      </c>
      <c r="C100" s="9" t="s">
        <v>384</v>
      </c>
      <c r="D100" s="9" t="s">
        <v>74</v>
      </c>
      <c r="E100" s="14">
        <f>_xlfn.IFNA(INDEX(Receitas!C:C,MATCH(A100,Receitas!F:F,0)),"")</f>
        <v>46152</v>
      </c>
    </row>
    <row r="101" spans="1:5" x14ac:dyDescent="0.2">
      <c r="A101" s="9" t="s">
        <v>187</v>
      </c>
      <c r="B101" s="9">
        <v>1</v>
      </c>
      <c r="C101" s="9" t="s">
        <v>383</v>
      </c>
      <c r="D101" s="9" t="s">
        <v>319</v>
      </c>
      <c r="E101" s="14">
        <f>_xlfn.IFNA(INDEX(Receitas!C:C,MATCH(A101,Receitas!F:F,0)),"")</f>
        <v>46152</v>
      </c>
    </row>
    <row r="102" spans="1:5" x14ac:dyDescent="0.2">
      <c r="A102" s="9" t="s">
        <v>187</v>
      </c>
      <c r="B102" s="9">
        <v>1</v>
      </c>
      <c r="C102" s="9" t="s">
        <v>383</v>
      </c>
      <c r="D102" s="9" t="s">
        <v>330</v>
      </c>
      <c r="E102" s="14">
        <f>_xlfn.IFNA(INDEX(Receitas!C:C,MATCH(A102,Receitas!F:F,0)),"")</f>
        <v>46152</v>
      </c>
    </row>
    <row r="103" spans="1:5" x14ac:dyDescent="0.2">
      <c r="A103" s="9" t="s">
        <v>187</v>
      </c>
      <c r="B103" s="9">
        <v>100</v>
      </c>
      <c r="C103" s="9" t="s">
        <v>244</v>
      </c>
      <c r="D103" s="9" t="s">
        <v>56</v>
      </c>
      <c r="E103" s="14">
        <f>_xlfn.IFNA(INDEX(Receitas!C:C,MATCH(A103,Receitas!F:F,0)),"")</f>
        <v>46152</v>
      </c>
    </row>
    <row r="104" spans="1:5" x14ac:dyDescent="0.2">
      <c r="A104" s="9" t="s">
        <v>187</v>
      </c>
      <c r="B104" s="9">
        <v>50</v>
      </c>
      <c r="C104" s="9" t="s">
        <v>235</v>
      </c>
      <c r="D104" s="9" t="s">
        <v>358</v>
      </c>
      <c r="E104" s="14">
        <f>_xlfn.IFNA(INDEX(Receitas!C:C,MATCH(A104,Receitas!F:F,0)),"")</f>
        <v>46152</v>
      </c>
    </row>
    <row r="105" spans="1:5" x14ac:dyDescent="0.2">
      <c r="A105" s="9" t="s">
        <v>187</v>
      </c>
      <c r="B105" s="9">
        <v>1</v>
      </c>
      <c r="C105" s="9" t="s">
        <v>384</v>
      </c>
      <c r="D105" s="9" t="s">
        <v>57</v>
      </c>
      <c r="E105" s="14">
        <f>_xlfn.IFNA(INDEX(Receitas!C:C,MATCH(A105,Receitas!F:F,0)),"")</f>
        <v>46152</v>
      </c>
    </row>
    <row r="106" spans="1:5" x14ac:dyDescent="0.2">
      <c r="A106" s="9" t="s">
        <v>166</v>
      </c>
      <c r="B106" s="9">
        <v>2</v>
      </c>
      <c r="C106" s="9" t="s">
        <v>237</v>
      </c>
      <c r="D106" s="9" t="s">
        <v>68</v>
      </c>
      <c r="E106" s="14">
        <f>_xlfn.IFNA(INDEX(Receitas!C:C,MATCH(A106,Receitas!F:F,0)),"")</f>
        <v>46150</v>
      </c>
    </row>
    <row r="107" spans="1:5" x14ac:dyDescent="0.2">
      <c r="A107" s="9" t="s">
        <v>166</v>
      </c>
      <c r="B107" s="9">
        <v>100</v>
      </c>
      <c r="C107" s="9" t="s">
        <v>244</v>
      </c>
      <c r="D107" s="9" t="s">
        <v>58</v>
      </c>
      <c r="E107" s="14">
        <f>_xlfn.IFNA(INDEX(Receitas!C:C,MATCH(A107,Receitas!F:F,0)),"")</f>
        <v>46150</v>
      </c>
    </row>
    <row r="108" spans="1:5" x14ac:dyDescent="0.2">
      <c r="A108" s="9" t="s">
        <v>166</v>
      </c>
      <c r="B108" s="9">
        <v>100</v>
      </c>
      <c r="C108" s="9" t="s">
        <v>235</v>
      </c>
      <c r="D108" s="9" t="s">
        <v>60</v>
      </c>
      <c r="E108" s="14">
        <f>_xlfn.IFNA(INDEX(Receitas!C:C,MATCH(A108,Receitas!F:F,0)),"")</f>
        <v>46150</v>
      </c>
    </row>
    <row r="109" spans="1:5" x14ac:dyDescent="0.2">
      <c r="A109" s="9" t="s">
        <v>166</v>
      </c>
      <c r="B109" s="9">
        <v>1000</v>
      </c>
      <c r="C109" s="9" t="s">
        <v>235</v>
      </c>
      <c r="D109" s="9" t="s">
        <v>37</v>
      </c>
      <c r="E109" s="14">
        <f>_xlfn.IFNA(INDEX(Receitas!C:C,MATCH(A109,Receitas!F:F,0)),"")</f>
        <v>46150</v>
      </c>
    </row>
    <row r="110" spans="1:5" x14ac:dyDescent="0.2">
      <c r="A110" s="9" t="s">
        <v>166</v>
      </c>
      <c r="B110" s="9">
        <v>20</v>
      </c>
      <c r="C110" s="9" t="s">
        <v>235</v>
      </c>
      <c r="D110" s="9" t="s">
        <v>88</v>
      </c>
      <c r="E110" s="14">
        <f>_xlfn.IFNA(INDEX(Receitas!C:C,MATCH(A110,Receitas!F:F,0)),"")</f>
        <v>46150</v>
      </c>
    </row>
    <row r="111" spans="1:5" x14ac:dyDescent="0.2">
      <c r="A111" s="9" t="s">
        <v>166</v>
      </c>
      <c r="B111" s="9">
        <v>1</v>
      </c>
      <c r="C111" s="9" t="s">
        <v>237</v>
      </c>
      <c r="D111" s="9" t="s">
        <v>94</v>
      </c>
      <c r="E111" s="14">
        <f>_xlfn.IFNA(INDEX(Receitas!C:C,MATCH(A111,Receitas!F:F,0)),"")</f>
        <v>46150</v>
      </c>
    </row>
    <row r="112" spans="1:5" x14ac:dyDescent="0.2">
      <c r="A112" s="9" t="s">
        <v>166</v>
      </c>
      <c r="B112" s="9">
        <v>1</v>
      </c>
      <c r="C112" s="9" t="s">
        <v>237</v>
      </c>
      <c r="D112" s="9" t="s">
        <v>62</v>
      </c>
      <c r="E112" s="14">
        <f>_xlfn.IFNA(INDEX(Receitas!C:C,MATCH(A112,Receitas!F:F,0)),"")</f>
        <v>46150</v>
      </c>
    </row>
    <row r="113" spans="1:5" x14ac:dyDescent="0.2">
      <c r="A113" s="9" t="s">
        <v>166</v>
      </c>
      <c r="B113" s="9">
        <v>20</v>
      </c>
      <c r="C113" s="9" t="s">
        <v>235</v>
      </c>
      <c r="D113" s="9" t="s">
        <v>97</v>
      </c>
      <c r="E113" s="14">
        <f>_xlfn.IFNA(INDEX(Receitas!C:C,MATCH(A113,Receitas!F:F,0)),"")</f>
        <v>46150</v>
      </c>
    </row>
    <row r="114" spans="1:5" x14ac:dyDescent="0.2">
      <c r="A114" s="9" t="s">
        <v>166</v>
      </c>
      <c r="B114" s="9">
        <v>100</v>
      </c>
      <c r="C114" s="9" t="s">
        <v>235</v>
      </c>
      <c r="D114" s="9" t="s">
        <v>63</v>
      </c>
      <c r="E114" s="14">
        <f>_xlfn.IFNA(INDEX(Receitas!C:C,MATCH(A114,Receitas!F:F,0)),"")</f>
        <v>46150</v>
      </c>
    </row>
    <row r="115" spans="1:5" x14ac:dyDescent="0.2">
      <c r="A115" s="9" t="s">
        <v>166</v>
      </c>
      <c r="B115" s="9">
        <v>700</v>
      </c>
      <c r="C115" s="9" t="s">
        <v>235</v>
      </c>
      <c r="D115" s="9" t="s">
        <v>111</v>
      </c>
      <c r="E115" s="14">
        <f>_xlfn.IFNA(INDEX(Receitas!C:C,MATCH(A115,Receitas!F:F,0)),"")</f>
        <v>46150</v>
      </c>
    </row>
    <row r="116" spans="1:5" x14ac:dyDescent="0.2">
      <c r="A116" s="9" t="s">
        <v>191</v>
      </c>
      <c r="B116" s="9">
        <v>30</v>
      </c>
      <c r="C116" s="9" t="s">
        <v>244</v>
      </c>
      <c r="D116" s="9" t="s">
        <v>58</v>
      </c>
      <c r="E116" s="14">
        <f>_xlfn.IFNA(INDEX(Receitas!C:C,MATCH(A116,Receitas!F:F,0)),"")</f>
        <v>46156</v>
      </c>
    </row>
    <row r="117" spans="1:5" x14ac:dyDescent="0.2">
      <c r="A117" s="9" t="s">
        <v>191</v>
      </c>
      <c r="B117" s="9">
        <v>150</v>
      </c>
      <c r="C117" s="9" t="s">
        <v>235</v>
      </c>
      <c r="D117" s="9" t="s">
        <v>89</v>
      </c>
      <c r="E117" s="14">
        <f>_xlfn.IFNA(INDEX(Receitas!C:C,MATCH(A117,Receitas!F:F,0)),"")</f>
        <v>46156</v>
      </c>
    </row>
    <row r="118" spans="1:5" x14ac:dyDescent="0.2">
      <c r="A118" s="9" t="s">
        <v>191</v>
      </c>
      <c r="B118" s="9">
        <v>1</v>
      </c>
      <c r="C118" s="9" t="s">
        <v>237</v>
      </c>
      <c r="D118" s="9" t="s">
        <v>62</v>
      </c>
      <c r="E118" s="14">
        <f>_xlfn.IFNA(INDEX(Receitas!C:C,MATCH(A118,Receitas!F:F,0)),"")</f>
        <v>46156</v>
      </c>
    </row>
    <row r="119" spans="1:5" x14ac:dyDescent="0.2">
      <c r="A119" s="9" t="s">
        <v>191</v>
      </c>
      <c r="B119" s="9">
        <v>20</v>
      </c>
      <c r="C119" s="9" t="s">
        <v>235</v>
      </c>
      <c r="D119" s="9" t="s">
        <v>97</v>
      </c>
      <c r="E119" s="14">
        <f>_xlfn.IFNA(INDEX(Receitas!C:C,MATCH(A119,Receitas!F:F,0)),"")</f>
        <v>46156</v>
      </c>
    </row>
    <row r="120" spans="1:5" x14ac:dyDescent="0.2">
      <c r="A120" s="9" t="s">
        <v>191</v>
      </c>
      <c r="B120" s="9">
        <v>1</v>
      </c>
      <c r="C120" s="9" t="s">
        <v>383</v>
      </c>
      <c r="D120" s="9" t="s">
        <v>342</v>
      </c>
      <c r="E120" s="14">
        <f>_xlfn.IFNA(INDEX(Receitas!C:C,MATCH(A120,Receitas!F:F,0)),"")</f>
        <v>46156</v>
      </c>
    </row>
    <row r="121" spans="1:5" x14ac:dyDescent="0.2">
      <c r="A121" s="9" t="s">
        <v>191</v>
      </c>
      <c r="B121" s="9">
        <v>700</v>
      </c>
      <c r="C121" s="9" t="s">
        <v>235</v>
      </c>
      <c r="D121" s="9" t="s">
        <v>111</v>
      </c>
      <c r="E121" s="14">
        <f>_xlfn.IFNA(INDEX(Receitas!C:C,MATCH(A121,Receitas!F:F,0)),"")</f>
        <v>46156</v>
      </c>
    </row>
    <row r="122" spans="1:5" x14ac:dyDescent="0.2">
      <c r="A122" s="9" t="s">
        <v>191</v>
      </c>
      <c r="B122" s="9">
        <v>1</v>
      </c>
      <c r="C122" s="9" t="s">
        <v>383</v>
      </c>
      <c r="D122" s="9" t="s">
        <v>362</v>
      </c>
      <c r="E122" s="14">
        <f>_xlfn.IFNA(INDEX(Receitas!C:C,MATCH(A122,Receitas!F:F,0)),"")</f>
        <v>46156</v>
      </c>
    </row>
    <row r="123" spans="1:5" x14ac:dyDescent="0.2">
      <c r="A123" s="9" t="s">
        <v>191</v>
      </c>
      <c r="B123" s="9">
        <v>100</v>
      </c>
      <c r="C123" s="9" t="s">
        <v>244</v>
      </c>
      <c r="D123" s="9" t="s">
        <v>66</v>
      </c>
      <c r="E123" s="14">
        <f>_xlfn.IFNA(INDEX(Receitas!C:C,MATCH(A123,Receitas!F:F,0)),"")</f>
        <v>46156</v>
      </c>
    </row>
    <row r="124" spans="1:5" x14ac:dyDescent="0.2">
      <c r="A124" s="9" t="s">
        <v>202</v>
      </c>
      <c r="B124" s="9">
        <v>2</v>
      </c>
      <c r="C124" s="9" t="s">
        <v>237</v>
      </c>
      <c r="D124" s="9" t="s">
        <v>68</v>
      </c>
      <c r="E124" s="14">
        <f>_xlfn.IFNA(INDEX(Receitas!C:C,MATCH(A124,Receitas!F:F,0)),"")</f>
        <v>46149</v>
      </c>
    </row>
    <row r="125" spans="1:5" x14ac:dyDescent="0.2">
      <c r="A125" s="9" t="s">
        <v>202</v>
      </c>
      <c r="B125" s="9">
        <v>1</v>
      </c>
      <c r="C125" s="9" t="s">
        <v>237</v>
      </c>
      <c r="D125" s="9" t="s">
        <v>61</v>
      </c>
      <c r="E125" s="14">
        <f>_xlfn.IFNA(INDEX(Receitas!C:C,MATCH(A125,Receitas!F:F,0)),"")</f>
        <v>46149</v>
      </c>
    </row>
    <row r="126" spans="1:5" x14ac:dyDescent="0.2">
      <c r="A126" s="9" t="s">
        <v>202</v>
      </c>
      <c r="B126" s="9">
        <v>800</v>
      </c>
      <c r="C126" s="9" t="s">
        <v>235</v>
      </c>
      <c r="D126" s="9" t="s">
        <v>274</v>
      </c>
      <c r="E126" s="14">
        <f>_xlfn.IFNA(INDEX(Receitas!C:C,MATCH(A126,Receitas!F:F,0)),"")</f>
        <v>46149</v>
      </c>
    </row>
    <row r="127" spans="1:5" x14ac:dyDescent="0.2">
      <c r="A127" s="9" t="s">
        <v>202</v>
      </c>
      <c r="B127" s="9">
        <v>1</v>
      </c>
      <c r="C127" s="9" t="s">
        <v>237</v>
      </c>
      <c r="D127" s="9" t="s">
        <v>72</v>
      </c>
      <c r="E127" s="14">
        <f>_xlfn.IFNA(INDEX(Receitas!C:C,MATCH(A127,Receitas!F:F,0)),"")</f>
        <v>46149</v>
      </c>
    </row>
    <row r="128" spans="1:5" x14ac:dyDescent="0.2">
      <c r="A128" s="9" t="s">
        <v>202</v>
      </c>
      <c r="B128" s="9">
        <v>1</v>
      </c>
      <c r="C128" s="9" t="s">
        <v>237</v>
      </c>
      <c r="D128" s="9" t="s">
        <v>278</v>
      </c>
      <c r="E128" s="14">
        <f>_xlfn.IFNA(INDEX(Receitas!C:C,MATCH(A128,Receitas!F:F,0)),"")</f>
        <v>46149</v>
      </c>
    </row>
    <row r="129" spans="1:5" x14ac:dyDescent="0.2">
      <c r="A129" s="9" t="s">
        <v>202</v>
      </c>
      <c r="B129" s="9">
        <v>1</v>
      </c>
      <c r="C129" s="9" t="s">
        <v>383</v>
      </c>
      <c r="D129" s="9" t="s">
        <v>83</v>
      </c>
      <c r="E129" s="14">
        <f>_xlfn.IFNA(INDEX(Receitas!C:C,MATCH(A129,Receitas!F:F,0)),"")</f>
        <v>46149</v>
      </c>
    </row>
    <row r="130" spans="1:5" x14ac:dyDescent="0.2">
      <c r="A130" s="9" t="s">
        <v>202</v>
      </c>
      <c r="B130" s="9">
        <v>1</v>
      </c>
      <c r="C130" s="9" t="s">
        <v>383</v>
      </c>
      <c r="D130" s="9" t="s">
        <v>344</v>
      </c>
      <c r="E130" s="14">
        <f>_xlfn.IFNA(INDEX(Receitas!C:C,MATCH(A130,Receitas!F:F,0)),"")</f>
        <v>46149</v>
      </c>
    </row>
    <row r="131" spans="1:5" x14ac:dyDescent="0.2">
      <c r="A131" s="9" t="s">
        <v>202</v>
      </c>
      <c r="B131" s="9">
        <v>1</v>
      </c>
      <c r="C131" s="9" t="s">
        <v>383</v>
      </c>
      <c r="D131" s="9" t="s">
        <v>362</v>
      </c>
      <c r="E131" s="14">
        <f>_xlfn.IFNA(INDEX(Receitas!C:C,MATCH(A131,Receitas!F:F,0)),"")</f>
        <v>46149</v>
      </c>
    </row>
    <row r="132" spans="1:5" x14ac:dyDescent="0.2">
      <c r="A132" s="9" t="s">
        <v>202</v>
      </c>
      <c r="B132" s="9">
        <v>10</v>
      </c>
      <c r="C132" s="9" t="s">
        <v>235</v>
      </c>
      <c r="D132" s="9" t="s">
        <v>363</v>
      </c>
      <c r="E132" s="14">
        <f>_xlfn.IFNA(INDEX(Receitas!C:C,MATCH(A132,Receitas!F:F,0)),"")</f>
        <v>46149</v>
      </c>
    </row>
    <row r="133" spans="1:5" x14ac:dyDescent="0.2">
      <c r="A133" s="9" t="s">
        <v>202</v>
      </c>
      <c r="B133" s="9">
        <v>100</v>
      </c>
      <c r="C133" s="9" t="s">
        <v>244</v>
      </c>
      <c r="D133" s="9" t="s">
        <v>66</v>
      </c>
      <c r="E133" s="14">
        <f>_xlfn.IFNA(INDEX(Receitas!C:C,MATCH(A133,Receitas!F:F,0)),"")</f>
        <v>46149</v>
      </c>
    </row>
    <row r="134" spans="1:5" x14ac:dyDescent="0.2">
      <c r="A134" s="9" t="s">
        <v>186</v>
      </c>
      <c r="B134" s="9">
        <v>10</v>
      </c>
      <c r="C134" s="9" t="s">
        <v>235</v>
      </c>
      <c r="D134" s="9" t="s">
        <v>100</v>
      </c>
      <c r="E134" s="14">
        <f>_xlfn.IFNA(INDEX(Receitas!C:C,MATCH(A134,Receitas!F:F,0)),"")</f>
        <v>46164</v>
      </c>
    </row>
    <row r="135" spans="1:5" x14ac:dyDescent="0.2">
      <c r="A135" s="9" t="s">
        <v>186</v>
      </c>
      <c r="B135" s="9">
        <v>30</v>
      </c>
      <c r="C135" s="9" t="s">
        <v>244</v>
      </c>
      <c r="D135" s="9" t="s">
        <v>58</v>
      </c>
      <c r="E135" s="14">
        <f>_xlfn.IFNA(INDEX(Receitas!C:C,MATCH(A135,Receitas!F:F,0)),"")</f>
        <v>46164</v>
      </c>
    </row>
    <row r="136" spans="1:5" x14ac:dyDescent="0.2">
      <c r="A136" s="9" t="s">
        <v>186</v>
      </c>
      <c r="B136" s="9">
        <v>1</v>
      </c>
      <c r="C136" s="9" t="s">
        <v>237</v>
      </c>
      <c r="D136" s="9" t="s">
        <v>61</v>
      </c>
      <c r="E136" s="14">
        <f>_xlfn.IFNA(INDEX(Receitas!C:C,MATCH(A136,Receitas!F:F,0)),"")</f>
        <v>46164</v>
      </c>
    </row>
    <row r="137" spans="1:5" x14ac:dyDescent="0.2">
      <c r="A137" s="9" t="s">
        <v>186</v>
      </c>
      <c r="B137" s="9">
        <v>600</v>
      </c>
      <c r="C137" s="9" t="s">
        <v>235</v>
      </c>
      <c r="D137" s="9" t="s">
        <v>274</v>
      </c>
      <c r="E137" s="14">
        <f>_xlfn.IFNA(INDEX(Receitas!C:C,MATCH(A137,Receitas!F:F,0)),"")</f>
        <v>46164</v>
      </c>
    </row>
    <row r="138" spans="1:5" x14ac:dyDescent="0.2">
      <c r="A138" s="9" t="s">
        <v>186</v>
      </c>
      <c r="B138" s="9">
        <v>100</v>
      </c>
      <c r="C138" s="9" t="s">
        <v>235</v>
      </c>
      <c r="D138" s="9" t="s">
        <v>103</v>
      </c>
      <c r="E138" s="14">
        <f>_xlfn.IFNA(INDEX(Receitas!C:C,MATCH(A138,Receitas!F:F,0)),"")</f>
        <v>46164</v>
      </c>
    </row>
    <row r="139" spans="1:5" x14ac:dyDescent="0.2">
      <c r="A139" s="9" t="s">
        <v>186</v>
      </c>
      <c r="B139" s="9">
        <v>1</v>
      </c>
      <c r="C139" s="9" t="s">
        <v>237</v>
      </c>
      <c r="D139" s="9" t="s">
        <v>62</v>
      </c>
      <c r="E139" s="14">
        <f>_xlfn.IFNA(INDEX(Receitas!C:C,MATCH(A139,Receitas!F:F,0)),"")</f>
        <v>46164</v>
      </c>
    </row>
    <row r="140" spans="1:5" x14ac:dyDescent="0.2">
      <c r="A140" s="9" t="s">
        <v>186</v>
      </c>
      <c r="B140" s="9">
        <v>1</v>
      </c>
      <c r="C140" s="9" t="s">
        <v>384</v>
      </c>
      <c r="D140" s="9" t="s">
        <v>318</v>
      </c>
      <c r="E140" s="14">
        <f>_xlfn.IFNA(INDEX(Receitas!C:C,MATCH(A140,Receitas!F:F,0)),"")</f>
        <v>46164</v>
      </c>
    </row>
    <row r="141" spans="1:5" x14ac:dyDescent="0.2">
      <c r="A141" s="9" t="s">
        <v>186</v>
      </c>
      <c r="B141" s="9">
        <v>1</v>
      </c>
      <c r="C141" s="9" t="s">
        <v>383</v>
      </c>
      <c r="D141" s="9" t="s">
        <v>344</v>
      </c>
      <c r="E141" s="14">
        <f>_xlfn.IFNA(INDEX(Receitas!C:C,MATCH(A141,Receitas!F:F,0)),"")</f>
        <v>46164</v>
      </c>
    </row>
    <row r="142" spans="1:5" x14ac:dyDescent="0.2">
      <c r="A142" s="9" t="s">
        <v>186</v>
      </c>
      <c r="B142" s="9">
        <v>100</v>
      </c>
      <c r="C142" s="9" t="s">
        <v>244</v>
      </c>
      <c r="D142" s="9" t="s">
        <v>56</v>
      </c>
      <c r="E142" s="14">
        <f>_xlfn.IFNA(INDEX(Receitas!C:C,MATCH(A142,Receitas!F:F,0)),"")</f>
        <v>46164</v>
      </c>
    </row>
    <row r="143" spans="1:5" x14ac:dyDescent="0.2">
      <c r="A143" s="9" t="s">
        <v>186</v>
      </c>
      <c r="B143" s="9">
        <v>1</v>
      </c>
      <c r="C143" s="9" t="s">
        <v>383</v>
      </c>
      <c r="D143" s="9" t="s">
        <v>362</v>
      </c>
      <c r="E143" s="14">
        <f>_xlfn.IFNA(INDEX(Receitas!C:C,MATCH(A143,Receitas!F:F,0)),"")</f>
        <v>46164</v>
      </c>
    </row>
    <row r="144" spans="1:5" x14ac:dyDescent="0.2">
      <c r="A144" s="9" t="s">
        <v>186</v>
      </c>
      <c r="B144" s="9">
        <v>100</v>
      </c>
      <c r="C144" s="9" t="s">
        <v>244</v>
      </c>
      <c r="D144" s="9" t="s">
        <v>66</v>
      </c>
      <c r="E144" s="14">
        <f>_xlfn.IFNA(INDEX(Receitas!C:C,MATCH(A144,Receitas!F:F,0)),"")</f>
        <v>46164</v>
      </c>
    </row>
    <row r="145" spans="1:5" x14ac:dyDescent="0.2">
      <c r="A145" s="9" t="s">
        <v>172</v>
      </c>
      <c r="B145" s="9">
        <v>10</v>
      </c>
      <c r="C145" s="9" t="s">
        <v>235</v>
      </c>
      <c r="D145" s="9" t="s">
        <v>100</v>
      </c>
      <c r="E145" s="14">
        <f>_xlfn.IFNA(INDEX(Receitas!C:C,MATCH(A145,Receitas!F:F,0)),"")</f>
        <v>46142</v>
      </c>
    </row>
    <row r="146" spans="1:5" x14ac:dyDescent="0.2">
      <c r="A146" s="9" t="s">
        <v>172</v>
      </c>
      <c r="B146" s="9">
        <v>200</v>
      </c>
      <c r="C146" s="9" t="s">
        <v>235</v>
      </c>
      <c r="D146" s="9" t="s">
        <v>71</v>
      </c>
      <c r="E146" s="14">
        <f>_xlfn.IFNA(INDEX(Receitas!C:C,MATCH(A146,Receitas!F:F,0)),"")</f>
        <v>46142</v>
      </c>
    </row>
    <row r="147" spans="1:5" x14ac:dyDescent="0.2">
      <c r="A147" s="9" t="s">
        <v>172</v>
      </c>
      <c r="B147" s="9">
        <v>30</v>
      </c>
      <c r="C147" s="9" t="s">
        <v>244</v>
      </c>
      <c r="D147" s="9" t="s">
        <v>58</v>
      </c>
      <c r="E147" s="14">
        <f>_xlfn.IFNA(INDEX(Receitas!C:C,MATCH(A147,Receitas!F:F,0)),"")</f>
        <v>46142</v>
      </c>
    </row>
    <row r="148" spans="1:5" x14ac:dyDescent="0.2">
      <c r="A148" s="9" t="s">
        <v>172</v>
      </c>
      <c r="B148" s="9">
        <v>1</v>
      </c>
      <c r="C148" s="9" t="s">
        <v>237</v>
      </c>
      <c r="D148" s="9" t="s">
        <v>61</v>
      </c>
      <c r="E148" s="14">
        <f>_xlfn.IFNA(INDEX(Receitas!C:C,MATCH(A148,Receitas!F:F,0)),"")</f>
        <v>46142</v>
      </c>
    </row>
    <row r="149" spans="1:5" x14ac:dyDescent="0.2">
      <c r="A149" s="9" t="s">
        <v>172</v>
      </c>
      <c r="B149" s="9">
        <v>800</v>
      </c>
      <c r="C149" s="9" t="s">
        <v>235</v>
      </c>
      <c r="D149" s="9" t="s">
        <v>102</v>
      </c>
      <c r="E149" s="14">
        <f>_xlfn.IFNA(INDEX(Receitas!C:C,MATCH(A149,Receitas!F:F,0)),"")</f>
        <v>46142</v>
      </c>
    </row>
    <row r="150" spans="1:5" x14ac:dyDescent="0.2">
      <c r="A150" s="9" t="s">
        <v>172</v>
      </c>
      <c r="B150" s="9">
        <v>100</v>
      </c>
      <c r="C150" s="9" t="s">
        <v>235</v>
      </c>
      <c r="D150" s="9" t="s">
        <v>103</v>
      </c>
      <c r="E150" s="14">
        <f>_xlfn.IFNA(INDEX(Receitas!C:C,MATCH(A150,Receitas!F:F,0)),"")</f>
        <v>46142</v>
      </c>
    </row>
    <row r="151" spans="1:5" x14ac:dyDescent="0.2">
      <c r="A151" s="9" t="s">
        <v>172</v>
      </c>
      <c r="B151" s="9">
        <v>2</v>
      </c>
      <c r="C151" s="9" t="s">
        <v>384</v>
      </c>
      <c r="D151" s="9" t="s">
        <v>79</v>
      </c>
      <c r="E151" s="14">
        <f>_xlfn.IFNA(INDEX(Receitas!C:C,MATCH(A151,Receitas!F:F,0)),"")</f>
        <v>46142</v>
      </c>
    </row>
    <row r="152" spans="1:5" x14ac:dyDescent="0.2">
      <c r="A152" s="9" t="s">
        <v>172</v>
      </c>
      <c r="B152" s="9">
        <v>1</v>
      </c>
      <c r="C152" s="9" t="s">
        <v>237</v>
      </c>
      <c r="D152" s="9" t="s">
        <v>62</v>
      </c>
      <c r="E152" s="14">
        <f>_xlfn.IFNA(INDEX(Receitas!C:C,MATCH(A152,Receitas!F:F,0)),"")</f>
        <v>46142</v>
      </c>
    </row>
    <row r="153" spans="1:5" x14ac:dyDescent="0.2">
      <c r="A153" s="9" t="s">
        <v>172</v>
      </c>
      <c r="B153" s="9">
        <v>1</v>
      </c>
      <c r="C153" s="9" t="s">
        <v>237</v>
      </c>
      <c r="D153" s="9" t="s">
        <v>98</v>
      </c>
      <c r="E153" s="14">
        <f>_xlfn.IFNA(INDEX(Receitas!C:C,MATCH(A153,Receitas!F:F,0)),"")</f>
        <v>46142</v>
      </c>
    </row>
    <row r="154" spans="1:5" x14ac:dyDescent="0.2">
      <c r="A154" s="9" t="s">
        <v>172</v>
      </c>
      <c r="B154" s="9">
        <v>100</v>
      </c>
      <c r="C154" s="9" t="s">
        <v>244</v>
      </c>
      <c r="D154" s="9" t="s">
        <v>56</v>
      </c>
      <c r="E154" s="14">
        <f>_xlfn.IFNA(INDEX(Receitas!C:C,MATCH(A154,Receitas!F:F,0)),"")</f>
        <v>46142</v>
      </c>
    </row>
    <row r="155" spans="1:5" x14ac:dyDescent="0.2">
      <c r="A155" s="9" t="s">
        <v>172</v>
      </c>
      <c r="B155" s="9">
        <v>1</v>
      </c>
      <c r="C155" s="9" t="s">
        <v>383</v>
      </c>
      <c r="D155" s="9" t="s">
        <v>369</v>
      </c>
      <c r="E155" s="14">
        <f>_xlfn.IFNA(INDEX(Receitas!C:C,MATCH(A155,Receitas!F:F,0)),"")</f>
        <v>46142</v>
      </c>
    </row>
    <row r="156" spans="1:5" x14ac:dyDescent="0.2">
      <c r="A156" s="9" t="s">
        <v>172</v>
      </c>
      <c r="B156" s="9">
        <v>100</v>
      </c>
      <c r="C156" s="9" t="s">
        <v>244</v>
      </c>
      <c r="D156" s="9" t="s">
        <v>66</v>
      </c>
      <c r="E156" s="14">
        <f>_xlfn.IFNA(INDEX(Receitas!C:C,MATCH(A156,Receitas!F:F,0)),"")</f>
        <v>46142</v>
      </c>
    </row>
    <row r="157" spans="1:5" x14ac:dyDescent="0.2">
      <c r="A157" s="9" t="s">
        <v>197</v>
      </c>
      <c r="B157" s="9">
        <v>1</v>
      </c>
      <c r="C157" s="9" t="s">
        <v>383</v>
      </c>
      <c r="D157" s="9" t="s">
        <v>238</v>
      </c>
      <c r="E157" s="14">
        <f>_xlfn.IFNA(INDEX(Receitas!C:C,MATCH(A157,Receitas!F:F,0)),"")</f>
        <v>46165</v>
      </c>
    </row>
    <row r="158" spans="1:5" x14ac:dyDescent="0.2">
      <c r="A158" s="9" t="s">
        <v>197</v>
      </c>
      <c r="B158" s="9">
        <v>3</v>
      </c>
      <c r="C158" s="9" t="s">
        <v>237</v>
      </c>
      <c r="D158" s="9" t="s">
        <v>68</v>
      </c>
      <c r="E158" s="14">
        <f>_xlfn.IFNA(INDEX(Receitas!C:C,MATCH(A158,Receitas!F:F,0)),"")</f>
        <v>46165</v>
      </c>
    </row>
    <row r="159" spans="1:5" x14ac:dyDescent="0.2">
      <c r="A159" s="9" t="s">
        <v>197</v>
      </c>
      <c r="B159" s="9">
        <v>30</v>
      </c>
      <c r="C159" s="9" t="s">
        <v>244</v>
      </c>
      <c r="D159" s="9" t="s">
        <v>58</v>
      </c>
      <c r="E159" s="14">
        <f>_xlfn.IFNA(INDEX(Receitas!C:C,MATCH(A159,Receitas!F:F,0)),"")</f>
        <v>46165</v>
      </c>
    </row>
    <row r="160" spans="1:5" x14ac:dyDescent="0.2">
      <c r="A160" s="9" t="s">
        <v>197</v>
      </c>
      <c r="B160" s="9">
        <v>50</v>
      </c>
      <c r="C160" s="9" t="s">
        <v>244</v>
      </c>
      <c r="D160" s="9" t="s">
        <v>86</v>
      </c>
      <c r="E160" s="14">
        <f>_xlfn.IFNA(INDEX(Receitas!C:C,MATCH(A160,Receitas!F:F,0)),"")</f>
        <v>46165</v>
      </c>
    </row>
    <row r="161" spans="1:5" x14ac:dyDescent="0.2">
      <c r="A161" s="9" t="s">
        <v>197</v>
      </c>
      <c r="B161" s="9">
        <v>1</v>
      </c>
      <c r="C161" s="9" t="s">
        <v>237</v>
      </c>
      <c r="D161" s="9" t="s">
        <v>72</v>
      </c>
      <c r="E161" s="14">
        <f>_xlfn.IFNA(INDEX(Receitas!C:C,MATCH(A161,Receitas!F:F,0)),"")</f>
        <v>46165</v>
      </c>
    </row>
    <row r="162" spans="1:5" x14ac:dyDescent="0.2">
      <c r="A162" s="9" t="s">
        <v>197</v>
      </c>
      <c r="B162" s="9">
        <v>1</v>
      </c>
      <c r="C162" s="9" t="s">
        <v>237</v>
      </c>
      <c r="D162" s="9" t="s">
        <v>24</v>
      </c>
      <c r="E162" s="14">
        <f>_xlfn.IFNA(INDEX(Receitas!C:C,MATCH(A162,Receitas!F:F,0)),"")</f>
        <v>46165</v>
      </c>
    </row>
    <row r="163" spans="1:5" x14ac:dyDescent="0.2">
      <c r="A163" s="9" t="s">
        <v>197</v>
      </c>
      <c r="B163" s="9">
        <v>1</v>
      </c>
      <c r="C163" s="9" t="s">
        <v>237</v>
      </c>
      <c r="D163" s="9" t="s">
        <v>62</v>
      </c>
      <c r="E163" s="14">
        <f>_xlfn.IFNA(INDEX(Receitas!C:C,MATCH(A163,Receitas!F:F,0)),"")</f>
        <v>46165</v>
      </c>
    </row>
    <row r="164" spans="1:5" x14ac:dyDescent="0.2">
      <c r="A164" s="9" t="s">
        <v>197</v>
      </c>
      <c r="B164" s="9">
        <v>1</v>
      </c>
      <c r="C164" s="9" t="s">
        <v>383</v>
      </c>
      <c r="D164" s="9" t="s">
        <v>347</v>
      </c>
      <c r="E164" s="14">
        <f>_xlfn.IFNA(INDEX(Receitas!C:C,MATCH(A164,Receitas!F:F,0)),"")</f>
        <v>46165</v>
      </c>
    </row>
    <row r="165" spans="1:5" x14ac:dyDescent="0.2">
      <c r="A165" s="9" t="s">
        <v>197</v>
      </c>
      <c r="B165" s="9">
        <v>1</v>
      </c>
      <c r="C165" s="9" t="s">
        <v>383</v>
      </c>
      <c r="D165" s="9" t="s">
        <v>362</v>
      </c>
      <c r="E165" s="14">
        <f>_xlfn.IFNA(INDEX(Receitas!C:C,MATCH(A165,Receitas!F:F,0)),"")</f>
        <v>46165</v>
      </c>
    </row>
    <row r="166" spans="1:5" x14ac:dyDescent="0.2">
      <c r="A166" s="9" t="s">
        <v>197</v>
      </c>
      <c r="B166" s="9">
        <v>1</v>
      </c>
      <c r="C166" s="9" t="s">
        <v>384</v>
      </c>
      <c r="D166" s="9" t="s">
        <v>57</v>
      </c>
      <c r="E166" s="14">
        <f>_xlfn.IFNA(INDEX(Receitas!C:C,MATCH(A166,Receitas!F:F,0)),"")</f>
        <v>46165</v>
      </c>
    </row>
    <row r="167" spans="1:5" x14ac:dyDescent="0.2">
      <c r="A167" s="9" t="s">
        <v>197</v>
      </c>
      <c r="B167" s="9">
        <v>200</v>
      </c>
      <c r="C167" s="9" t="s">
        <v>244</v>
      </c>
      <c r="D167" s="9" t="s">
        <v>67</v>
      </c>
      <c r="E167" s="14">
        <f>_xlfn.IFNA(INDEX(Receitas!C:C,MATCH(A167,Receitas!F:F,0)),"")</f>
        <v>46165</v>
      </c>
    </row>
    <row r="168" spans="1:5" x14ac:dyDescent="0.2">
      <c r="A168" s="9" t="s">
        <v>201</v>
      </c>
      <c r="B168" s="9">
        <v>10</v>
      </c>
      <c r="C168" s="9" t="s">
        <v>235</v>
      </c>
      <c r="D168" s="9" t="s">
        <v>100</v>
      </c>
      <c r="E168" s="14">
        <f>_xlfn.IFNA(INDEX(Receitas!C:C,MATCH(A168,Receitas!F:F,0)),"")</f>
        <v>46139</v>
      </c>
    </row>
    <row r="169" spans="1:5" x14ac:dyDescent="0.2">
      <c r="A169" s="9" t="s">
        <v>201</v>
      </c>
      <c r="B169" s="9">
        <v>30</v>
      </c>
      <c r="C169" s="9" t="s">
        <v>244</v>
      </c>
      <c r="D169" s="9" t="s">
        <v>58</v>
      </c>
      <c r="E169" s="14">
        <f>_xlfn.IFNA(INDEX(Receitas!C:C,MATCH(A169,Receitas!F:F,0)),"")</f>
        <v>46139</v>
      </c>
    </row>
    <row r="170" spans="1:5" x14ac:dyDescent="0.2">
      <c r="A170" s="9" t="s">
        <v>201</v>
      </c>
      <c r="B170" s="9">
        <v>1</v>
      </c>
      <c r="C170" s="9" t="s">
        <v>237</v>
      </c>
      <c r="D170" s="9" t="s">
        <v>61</v>
      </c>
      <c r="E170" s="14">
        <f>_xlfn.IFNA(INDEX(Receitas!C:C,MATCH(A170,Receitas!F:F,0)),"")</f>
        <v>46139</v>
      </c>
    </row>
    <row r="171" spans="1:5" x14ac:dyDescent="0.2">
      <c r="A171" s="9" t="s">
        <v>201</v>
      </c>
      <c r="B171" s="9">
        <v>800</v>
      </c>
      <c r="C171" s="9" t="s">
        <v>235</v>
      </c>
      <c r="D171" s="9" t="s">
        <v>102</v>
      </c>
      <c r="E171" s="14">
        <f>_xlfn.IFNA(INDEX(Receitas!C:C,MATCH(A171,Receitas!F:F,0)),"")</f>
        <v>46139</v>
      </c>
    </row>
    <row r="172" spans="1:5" x14ac:dyDescent="0.2">
      <c r="A172" s="9" t="s">
        <v>201</v>
      </c>
      <c r="B172" s="9">
        <v>100</v>
      </c>
      <c r="C172" s="9" t="s">
        <v>235</v>
      </c>
      <c r="D172" s="9" t="s">
        <v>103</v>
      </c>
      <c r="E172" s="14">
        <f>_xlfn.IFNA(INDEX(Receitas!C:C,MATCH(A172,Receitas!F:F,0)),"")</f>
        <v>46139</v>
      </c>
    </row>
    <row r="173" spans="1:5" x14ac:dyDescent="0.2">
      <c r="A173" s="9" t="s">
        <v>201</v>
      </c>
      <c r="B173" s="9">
        <v>500</v>
      </c>
      <c r="C173" s="9" t="s">
        <v>244</v>
      </c>
      <c r="D173" s="9" t="s">
        <v>93</v>
      </c>
      <c r="E173" s="14">
        <f>_xlfn.IFNA(INDEX(Receitas!C:C,MATCH(A173,Receitas!F:F,0)),"")</f>
        <v>46139</v>
      </c>
    </row>
    <row r="174" spans="1:5" x14ac:dyDescent="0.2">
      <c r="A174" s="9" t="s">
        <v>201</v>
      </c>
      <c r="B174" s="9">
        <v>1</v>
      </c>
      <c r="C174" s="9" t="s">
        <v>237</v>
      </c>
      <c r="D174" s="9" t="s">
        <v>62</v>
      </c>
      <c r="E174" s="14">
        <f>_xlfn.IFNA(INDEX(Receitas!C:C,MATCH(A174,Receitas!F:F,0)),"")</f>
        <v>46139</v>
      </c>
    </row>
    <row r="175" spans="1:5" x14ac:dyDescent="0.2">
      <c r="A175" s="9" t="s">
        <v>201</v>
      </c>
      <c r="B175" s="9">
        <v>100</v>
      </c>
      <c r="C175" s="9" t="s">
        <v>235</v>
      </c>
      <c r="D175" s="9" t="s">
        <v>96</v>
      </c>
      <c r="E175" s="14">
        <f>_xlfn.IFNA(INDEX(Receitas!C:C,MATCH(A175,Receitas!F:F,0)),"")</f>
        <v>46139</v>
      </c>
    </row>
    <row r="176" spans="1:5" x14ac:dyDescent="0.2">
      <c r="A176" s="9" t="s">
        <v>201</v>
      </c>
      <c r="B176" s="9">
        <v>1</v>
      </c>
      <c r="C176" s="9" t="s">
        <v>237</v>
      </c>
      <c r="D176" s="9" t="s">
        <v>20</v>
      </c>
      <c r="E176" s="14">
        <f>_xlfn.IFNA(INDEX(Receitas!C:C,MATCH(A176,Receitas!F:F,0)),"")</f>
        <v>46139</v>
      </c>
    </row>
    <row r="177" spans="1:5" x14ac:dyDescent="0.2">
      <c r="A177" s="9" t="s">
        <v>201</v>
      </c>
      <c r="B177" s="9">
        <v>1</v>
      </c>
      <c r="C177" s="9" t="s">
        <v>383</v>
      </c>
      <c r="D177" s="9" t="s">
        <v>344</v>
      </c>
      <c r="E177" s="14">
        <f>_xlfn.IFNA(INDEX(Receitas!C:C,MATCH(A177,Receitas!F:F,0)),"")</f>
        <v>46139</v>
      </c>
    </row>
    <row r="178" spans="1:5" x14ac:dyDescent="0.2">
      <c r="A178" s="9" t="s">
        <v>201</v>
      </c>
      <c r="B178" s="9">
        <v>200</v>
      </c>
      <c r="C178" s="9" t="s">
        <v>244</v>
      </c>
      <c r="D178" s="9" t="s">
        <v>56</v>
      </c>
      <c r="E178" s="14">
        <f>_xlfn.IFNA(INDEX(Receitas!C:C,MATCH(A178,Receitas!F:F,0)),"")</f>
        <v>46139</v>
      </c>
    </row>
    <row r="179" spans="1:5" x14ac:dyDescent="0.2">
      <c r="A179" s="9" t="s">
        <v>201</v>
      </c>
      <c r="B179" s="9">
        <v>1000</v>
      </c>
      <c r="C179" s="9" t="s">
        <v>235</v>
      </c>
      <c r="D179" s="9" t="s">
        <v>110</v>
      </c>
      <c r="E179" s="14">
        <f>_xlfn.IFNA(INDEX(Receitas!C:C,MATCH(A179,Receitas!F:F,0)),"")</f>
        <v>46139</v>
      </c>
    </row>
    <row r="180" spans="1:5" x14ac:dyDescent="0.2">
      <c r="A180" s="9" t="s">
        <v>201</v>
      </c>
      <c r="B180" s="9">
        <v>1</v>
      </c>
      <c r="C180" s="9" t="s">
        <v>383</v>
      </c>
      <c r="D180" s="9" t="s">
        <v>362</v>
      </c>
      <c r="E180" s="14">
        <f>_xlfn.IFNA(INDEX(Receitas!C:C,MATCH(A180,Receitas!F:F,0)),"")</f>
        <v>46139</v>
      </c>
    </row>
    <row r="181" spans="1:5" x14ac:dyDescent="0.2">
      <c r="A181" s="9" t="s">
        <v>201</v>
      </c>
      <c r="B181" s="9">
        <v>1</v>
      </c>
      <c r="C181" s="9" t="s">
        <v>384</v>
      </c>
      <c r="D181" s="9" t="s">
        <v>57</v>
      </c>
      <c r="E181" s="14">
        <f>_xlfn.IFNA(INDEX(Receitas!C:C,MATCH(A181,Receitas!F:F,0)),"")</f>
        <v>46139</v>
      </c>
    </row>
    <row r="182" spans="1:5" x14ac:dyDescent="0.2">
      <c r="A182" s="9" t="s">
        <v>386</v>
      </c>
      <c r="B182" s="9">
        <v>4</v>
      </c>
      <c r="C182" s="9" t="s">
        <v>237</v>
      </c>
      <c r="D182" s="9" t="s">
        <v>68</v>
      </c>
      <c r="E182" s="14" t="str">
        <f>_xlfn.IFNA(INDEX(Receitas!C:C,MATCH(A182,Receitas!F:F,0)),"")</f>
        <v/>
      </c>
    </row>
    <row r="183" spans="1:5" x14ac:dyDescent="0.2">
      <c r="A183" s="9" t="s">
        <v>386</v>
      </c>
      <c r="B183" s="9">
        <v>10</v>
      </c>
      <c r="C183" s="9" t="s">
        <v>235</v>
      </c>
      <c r="D183" s="9" t="s">
        <v>100</v>
      </c>
      <c r="E183" s="14" t="str">
        <f>_xlfn.IFNA(INDEX(Receitas!C:C,MATCH(A183,Receitas!F:F,0)),"")</f>
        <v/>
      </c>
    </row>
    <row r="184" spans="1:5" x14ac:dyDescent="0.2">
      <c r="A184" s="9" t="s">
        <v>386</v>
      </c>
      <c r="B184" s="9">
        <v>100</v>
      </c>
      <c r="C184" s="9" t="s">
        <v>235</v>
      </c>
      <c r="D184" s="9" t="s">
        <v>103</v>
      </c>
      <c r="E184" s="14" t="str">
        <f>_xlfn.IFNA(INDEX(Receitas!C:C,MATCH(A184,Receitas!F:F,0)),"")</f>
        <v/>
      </c>
    </row>
    <row r="185" spans="1:5" x14ac:dyDescent="0.2">
      <c r="A185" s="9" t="s">
        <v>386</v>
      </c>
      <c r="B185" s="9">
        <v>1</v>
      </c>
      <c r="C185" s="9" t="s">
        <v>237</v>
      </c>
      <c r="D185" s="9" t="s">
        <v>278</v>
      </c>
      <c r="E185" s="14" t="str">
        <f>_xlfn.IFNA(INDEX(Receitas!C:C,MATCH(A185,Receitas!F:F,0)),"")</f>
        <v/>
      </c>
    </row>
    <row r="186" spans="1:5" x14ac:dyDescent="0.2">
      <c r="A186" s="9" t="s">
        <v>386</v>
      </c>
      <c r="B186" s="9">
        <v>150</v>
      </c>
      <c r="C186" s="9" t="s">
        <v>235</v>
      </c>
      <c r="D186" s="9" t="s">
        <v>89</v>
      </c>
      <c r="E186" s="14" t="str">
        <f>_xlfn.IFNA(INDEX(Receitas!C:C,MATCH(A186,Receitas!F:F,0)),"")</f>
        <v/>
      </c>
    </row>
    <row r="187" spans="1:5" x14ac:dyDescent="0.2">
      <c r="A187" s="9" t="s">
        <v>386</v>
      </c>
      <c r="B187" s="9">
        <v>61</v>
      </c>
      <c r="C187" s="9" t="s">
        <v>235</v>
      </c>
      <c r="D187" s="9" t="s">
        <v>301</v>
      </c>
      <c r="E187" s="14" t="str">
        <f>_xlfn.IFNA(INDEX(Receitas!C:C,MATCH(A187,Receitas!F:F,0)),"")</f>
        <v/>
      </c>
    </row>
    <row r="188" spans="1:5" x14ac:dyDescent="0.2">
      <c r="A188" s="9" t="s">
        <v>386</v>
      </c>
      <c r="B188" s="9">
        <v>500</v>
      </c>
      <c r="C188" s="9" t="s">
        <v>244</v>
      </c>
      <c r="D188" s="9" t="s">
        <v>93</v>
      </c>
      <c r="E188" s="14" t="str">
        <f>_xlfn.IFNA(INDEX(Receitas!C:C,MATCH(A188,Receitas!F:F,0)),"")</f>
        <v/>
      </c>
    </row>
    <row r="189" spans="1:5" x14ac:dyDescent="0.2">
      <c r="A189" s="9" t="s">
        <v>386</v>
      </c>
      <c r="B189" s="9">
        <v>100</v>
      </c>
      <c r="C189" s="9" t="s">
        <v>235</v>
      </c>
      <c r="D189" s="9" t="s">
        <v>96</v>
      </c>
      <c r="E189" s="14" t="str">
        <f>_xlfn.IFNA(INDEX(Receitas!C:C,MATCH(A189,Receitas!F:F,0)),"")</f>
        <v/>
      </c>
    </row>
    <row r="190" spans="1:5" x14ac:dyDescent="0.2">
      <c r="A190" s="9" t="s">
        <v>386</v>
      </c>
      <c r="B190" s="9">
        <v>400</v>
      </c>
      <c r="C190" s="9" t="s">
        <v>235</v>
      </c>
      <c r="D190" s="9" t="s">
        <v>108</v>
      </c>
      <c r="E190" s="14" t="str">
        <f>_xlfn.IFNA(INDEX(Receitas!C:C,MATCH(A190,Receitas!F:F,0)),"")</f>
        <v/>
      </c>
    </row>
    <row r="191" spans="1:5" x14ac:dyDescent="0.2">
      <c r="A191" s="9" t="s">
        <v>386</v>
      </c>
      <c r="B191" s="9">
        <v>4</v>
      </c>
      <c r="C191" s="9" t="s">
        <v>237</v>
      </c>
      <c r="D191" s="9" t="s">
        <v>20</v>
      </c>
      <c r="E191" s="14" t="str">
        <f>_xlfn.IFNA(INDEX(Receitas!C:C,MATCH(A191,Receitas!F:F,0)),"")</f>
        <v/>
      </c>
    </row>
    <row r="192" spans="1:5" x14ac:dyDescent="0.2">
      <c r="A192" s="9" t="s">
        <v>386</v>
      </c>
      <c r="B192" s="9">
        <v>200</v>
      </c>
      <c r="C192" s="9" t="s">
        <v>235</v>
      </c>
      <c r="D192" s="9" t="s">
        <v>332</v>
      </c>
      <c r="E192" s="14" t="str">
        <f>_xlfn.IFNA(INDEX(Receitas!C:C,MATCH(A192,Receitas!F:F,0)),"")</f>
        <v/>
      </c>
    </row>
    <row r="193" spans="1:5" x14ac:dyDescent="0.2">
      <c r="A193" s="9" t="s">
        <v>386</v>
      </c>
      <c r="B193" s="9">
        <v>1</v>
      </c>
      <c r="C193" s="9" t="s">
        <v>383</v>
      </c>
      <c r="D193" s="9" t="s">
        <v>344</v>
      </c>
      <c r="E193" s="14" t="str">
        <f>_xlfn.IFNA(INDEX(Receitas!C:C,MATCH(A193,Receitas!F:F,0)),"")</f>
        <v/>
      </c>
    </row>
    <row r="194" spans="1:5" x14ac:dyDescent="0.2">
      <c r="A194" s="9" t="s">
        <v>386</v>
      </c>
      <c r="B194" s="9">
        <v>1000</v>
      </c>
      <c r="C194" s="9" t="s">
        <v>235</v>
      </c>
      <c r="D194" s="9" t="s">
        <v>110</v>
      </c>
      <c r="E194" s="14" t="str">
        <f>_xlfn.IFNA(INDEX(Receitas!C:C,MATCH(A194,Receitas!F:F,0)),"")</f>
        <v/>
      </c>
    </row>
    <row r="195" spans="1:5" x14ac:dyDescent="0.2">
      <c r="A195" s="9" t="s">
        <v>386</v>
      </c>
      <c r="B195" s="9">
        <v>1</v>
      </c>
      <c r="C195" s="9" t="s">
        <v>383</v>
      </c>
      <c r="D195" s="9" t="s">
        <v>362</v>
      </c>
      <c r="E195" s="14" t="str">
        <f>_xlfn.IFNA(INDEX(Receitas!C:C,MATCH(A195,Receitas!F:F,0)),"")</f>
        <v/>
      </c>
    </row>
    <row r="196" spans="1:5" x14ac:dyDescent="0.2">
      <c r="A196" s="9" t="s">
        <v>387</v>
      </c>
      <c r="B196" s="9">
        <v>4</v>
      </c>
      <c r="C196" s="9" t="s">
        <v>237</v>
      </c>
      <c r="D196" s="9" t="s">
        <v>68</v>
      </c>
      <c r="E196" s="14" t="str">
        <f>_xlfn.IFNA(INDEX(Receitas!C:C,MATCH(A196,Receitas!F:F,0)),"")</f>
        <v/>
      </c>
    </row>
    <row r="197" spans="1:5" x14ac:dyDescent="0.2">
      <c r="A197" s="9" t="s">
        <v>387</v>
      </c>
      <c r="B197" s="9">
        <v>30</v>
      </c>
      <c r="C197" s="9" t="s">
        <v>244</v>
      </c>
      <c r="D197" s="9" t="s">
        <v>58</v>
      </c>
      <c r="E197" s="14" t="str">
        <f>_xlfn.IFNA(INDEX(Receitas!C:C,MATCH(A197,Receitas!F:F,0)),"")</f>
        <v/>
      </c>
    </row>
    <row r="198" spans="1:5" x14ac:dyDescent="0.2">
      <c r="A198" s="9" t="s">
        <v>387</v>
      </c>
      <c r="B198" s="9">
        <v>1000</v>
      </c>
      <c r="C198" s="9" t="s">
        <v>235</v>
      </c>
      <c r="D198" s="9" t="s">
        <v>294</v>
      </c>
      <c r="E198" s="14" t="str">
        <f>_xlfn.IFNA(INDEX(Receitas!C:C,MATCH(A198,Receitas!F:F,0)),"")</f>
        <v/>
      </c>
    </row>
    <row r="199" spans="1:5" x14ac:dyDescent="0.2">
      <c r="A199" s="9" t="s">
        <v>387</v>
      </c>
      <c r="B199" s="9">
        <v>1</v>
      </c>
      <c r="C199" s="9" t="s">
        <v>237</v>
      </c>
      <c r="D199" s="9" t="s">
        <v>94</v>
      </c>
      <c r="E199" s="14" t="str">
        <f>_xlfn.IFNA(INDEX(Receitas!C:C,MATCH(A199,Receitas!F:F,0)),"")</f>
        <v/>
      </c>
    </row>
    <row r="200" spans="1:5" x14ac:dyDescent="0.2">
      <c r="A200" s="9" t="s">
        <v>387</v>
      </c>
      <c r="B200" s="9">
        <v>1</v>
      </c>
      <c r="C200" s="9" t="s">
        <v>237</v>
      </c>
      <c r="D200" s="9" t="s">
        <v>62</v>
      </c>
      <c r="E200" s="14" t="str">
        <f>_xlfn.IFNA(INDEX(Receitas!C:C,MATCH(A200,Receitas!F:F,0)),"")</f>
        <v/>
      </c>
    </row>
    <row r="201" spans="1:5" x14ac:dyDescent="0.2">
      <c r="A201" s="9" t="s">
        <v>387</v>
      </c>
      <c r="B201" s="9">
        <v>20</v>
      </c>
      <c r="C201" s="9" t="s">
        <v>235</v>
      </c>
      <c r="D201" s="9" t="s">
        <v>97</v>
      </c>
      <c r="E201" s="14" t="str">
        <f>_xlfn.IFNA(INDEX(Receitas!C:C,MATCH(A201,Receitas!F:F,0)),"")</f>
        <v/>
      </c>
    </row>
    <row r="202" spans="1:5" x14ac:dyDescent="0.2">
      <c r="A202" s="9" t="s">
        <v>207</v>
      </c>
      <c r="B202" s="9">
        <v>10</v>
      </c>
      <c r="C202" s="9" t="s">
        <v>235</v>
      </c>
      <c r="D202" s="9" t="s">
        <v>100</v>
      </c>
      <c r="E202" s="14">
        <f>_xlfn.IFNA(INDEX(Receitas!C:C,MATCH(A202,Receitas!F:F,0)),"")</f>
        <v>46167</v>
      </c>
    </row>
    <row r="203" spans="1:5" x14ac:dyDescent="0.2">
      <c r="A203" s="9" t="s">
        <v>207</v>
      </c>
      <c r="B203" s="9">
        <v>200</v>
      </c>
      <c r="C203" s="9" t="s">
        <v>235</v>
      </c>
      <c r="D203" s="9" t="s">
        <v>71</v>
      </c>
      <c r="E203" s="14">
        <f>_xlfn.IFNA(INDEX(Receitas!C:C,MATCH(A203,Receitas!F:F,0)),"")</f>
        <v>46167</v>
      </c>
    </row>
    <row r="204" spans="1:5" x14ac:dyDescent="0.2">
      <c r="A204" s="9" t="s">
        <v>207</v>
      </c>
      <c r="B204" s="9">
        <v>30</v>
      </c>
      <c r="C204" s="9" t="s">
        <v>244</v>
      </c>
      <c r="D204" s="9" t="s">
        <v>58</v>
      </c>
      <c r="E204" s="14">
        <f>_xlfn.IFNA(INDEX(Receitas!C:C,MATCH(A204,Receitas!F:F,0)),"")</f>
        <v>46167</v>
      </c>
    </row>
    <row r="205" spans="1:5" x14ac:dyDescent="0.2">
      <c r="A205" s="9" t="s">
        <v>207</v>
      </c>
      <c r="B205" s="9">
        <v>100</v>
      </c>
      <c r="C205" s="9" t="s">
        <v>235</v>
      </c>
      <c r="D205" s="9" t="s">
        <v>103</v>
      </c>
      <c r="E205" s="14">
        <f>_xlfn.IFNA(INDEX(Receitas!C:C,MATCH(A205,Receitas!F:F,0)),"")</f>
        <v>46167</v>
      </c>
    </row>
    <row r="206" spans="1:5" x14ac:dyDescent="0.2">
      <c r="A206" s="9" t="s">
        <v>207</v>
      </c>
      <c r="B206" s="9">
        <v>1</v>
      </c>
      <c r="C206" s="9" t="s">
        <v>237</v>
      </c>
      <c r="D206" s="9" t="s">
        <v>278</v>
      </c>
      <c r="E206" s="14">
        <f>_xlfn.IFNA(INDEX(Receitas!C:C,MATCH(A206,Receitas!F:F,0)),"")</f>
        <v>46167</v>
      </c>
    </row>
    <row r="207" spans="1:5" x14ac:dyDescent="0.2">
      <c r="A207" s="9" t="s">
        <v>207</v>
      </c>
      <c r="B207" s="9">
        <v>0.3</v>
      </c>
      <c r="C207" s="9" t="s">
        <v>237</v>
      </c>
      <c r="D207" s="9" t="s">
        <v>283</v>
      </c>
      <c r="E207" s="14">
        <f>_xlfn.IFNA(INDEX(Receitas!C:C,MATCH(A207,Receitas!F:F,0)),"")</f>
        <v>46167</v>
      </c>
    </row>
    <row r="208" spans="1:5" x14ac:dyDescent="0.2">
      <c r="A208" s="9" t="s">
        <v>207</v>
      </c>
      <c r="B208" s="9">
        <v>30</v>
      </c>
      <c r="C208" s="9" t="s">
        <v>235</v>
      </c>
      <c r="D208" s="9" t="s">
        <v>88</v>
      </c>
      <c r="E208" s="14">
        <f>_xlfn.IFNA(INDEX(Receitas!C:C,MATCH(A208,Receitas!F:F,0)),"")</f>
        <v>46167</v>
      </c>
    </row>
    <row r="209" spans="1:5" x14ac:dyDescent="0.2">
      <c r="A209" s="9" t="s">
        <v>207</v>
      </c>
      <c r="B209" s="9">
        <v>1000</v>
      </c>
      <c r="C209" s="9" t="s">
        <v>235</v>
      </c>
      <c r="D209" s="9" t="s">
        <v>297</v>
      </c>
      <c r="E209" s="14">
        <f>_xlfn.IFNA(INDEX(Receitas!C:C,MATCH(A209,Receitas!F:F,0)),"")</f>
        <v>46167</v>
      </c>
    </row>
    <row r="210" spans="1:5" x14ac:dyDescent="0.2">
      <c r="A210" s="9" t="s">
        <v>207</v>
      </c>
      <c r="B210" s="9">
        <v>1</v>
      </c>
      <c r="C210" s="9" t="s">
        <v>237</v>
      </c>
      <c r="D210" s="9" t="s">
        <v>62</v>
      </c>
      <c r="E210" s="14">
        <f>_xlfn.IFNA(INDEX(Receitas!C:C,MATCH(A210,Receitas!F:F,0)),"")</f>
        <v>46167</v>
      </c>
    </row>
    <row r="211" spans="1:5" x14ac:dyDescent="0.2">
      <c r="A211" s="9" t="s">
        <v>207</v>
      </c>
      <c r="B211" s="9">
        <v>100</v>
      </c>
      <c r="C211" s="9" t="s">
        <v>244</v>
      </c>
      <c r="D211" s="9" t="s">
        <v>56</v>
      </c>
      <c r="E211" s="14">
        <f>_xlfn.IFNA(INDEX(Receitas!C:C,MATCH(A211,Receitas!F:F,0)),"")</f>
        <v>46167</v>
      </c>
    </row>
    <row r="212" spans="1:5" x14ac:dyDescent="0.2">
      <c r="A212" s="9" t="s">
        <v>198</v>
      </c>
      <c r="B212" s="9">
        <v>1</v>
      </c>
      <c r="C212" s="9" t="s">
        <v>237</v>
      </c>
      <c r="D212" s="9" t="s">
        <v>61</v>
      </c>
      <c r="E212" s="14">
        <f>_xlfn.IFNA(INDEX(Receitas!C:C,MATCH(A212,Receitas!F:F,0)),"")</f>
        <v>46134</v>
      </c>
    </row>
    <row r="213" spans="1:5" x14ac:dyDescent="0.2">
      <c r="A213" s="9" t="s">
        <v>198</v>
      </c>
      <c r="B213" s="9">
        <v>800</v>
      </c>
      <c r="C213" s="9" t="s">
        <v>235</v>
      </c>
      <c r="D213" s="9" t="s">
        <v>134</v>
      </c>
      <c r="E213" s="14">
        <f>_xlfn.IFNA(INDEX(Receitas!C:C,MATCH(A213,Receitas!F:F,0)),"")</f>
        <v>46134</v>
      </c>
    </row>
    <row r="214" spans="1:5" x14ac:dyDescent="0.2">
      <c r="A214" s="9" t="s">
        <v>198</v>
      </c>
      <c r="B214" s="9">
        <v>62</v>
      </c>
      <c r="C214" s="9" t="s">
        <v>235</v>
      </c>
      <c r="D214" s="9" t="s">
        <v>301</v>
      </c>
      <c r="E214" s="14">
        <f>_xlfn.IFNA(INDEX(Receitas!C:C,MATCH(A214,Receitas!F:F,0)),"")</f>
        <v>46134</v>
      </c>
    </row>
    <row r="215" spans="1:5" x14ac:dyDescent="0.2">
      <c r="A215" s="9" t="s">
        <v>198</v>
      </c>
      <c r="B215" s="9">
        <v>100</v>
      </c>
      <c r="C215" s="9" t="s">
        <v>235</v>
      </c>
      <c r="D215" s="9" t="s">
        <v>96</v>
      </c>
      <c r="E215" s="14">
        <f>_xlfn.IFNA(INDEX(Receitas!C:C,MATCH(A215,Receitas!F:F,0)),"")</f>
        <v>46134</v>
      </c>
    </row>
    <row r="216" spans="1:5" x14ac:dyDescent="0.2">
      <c r="A216" s="9" t="s">
        <v>198</v>
      </c>
      <c r="B216" s="9">
        <v>1</v>
      </c>
      <c r="C216" s="9" t="s">
        <v>383</v>
      </c>
      <c r="D216" s="9" t="s">
        <v>344</v>
      </c>
      <c r="E216" s="14">
        <f>_xlfn.IFNA(INDEX(Receitas!C:C,MATCH(A216,Receitas!F:F,0)),"")</f>
        <v>46134</v>
      </c>
    </row>
    <row r="217" spans="1:5" x14ac:dyDescent="0.2">
      <c r="A217" s="9" t="s">
        <v>198</v>
      </c>
      <c r="B217" s="9">
        <v>1</v>
      </c>
      <c r="C217" s="9" t="s">
        <v>383</v>
      </c>
      <c r="D217" s="9" t="s">
        <v>362</v>
      </c>
      <c r="E217" s="14">
        <f>_xlfn.IFNA(INDEX(Receitas!C:C,MATCH(A217,Receitas!F:F,0)),"")</f>
        <v>46134</v>
      </c>
    </row>
    <row r="218" spans="1:5" x14ac:dyDescent="0.2">
      <c r="A218" s="9" t="s">
        <v>198</v>
      </c>
      <c r="B218" s="9">
        <v>100</v>
      </c>
      <c r="C218" s="9" t="s">
        <v>244</v>
      </c>
      <c r="D218" s="9" t="s">
        <v>377</v>
      </c>
      <c r="E218" s="14">
        <f>_xlfn.IFNA(INDEX(Receitas!C:C,MATCH(A218,Receitas!F:F,0)),"")</f>
        <v>46134</v>
      </c>
    </row>
    <row r="219" spans="1:5" x14ac:dyDescent="0.2">
      <c r="A219" s="9" t="s">
        <v>199</v>
      </c>
      <c r="B219" s="9">
        <v>10</v>
      </c>
      <c r="C219" s="9" t="s">
        <v>235</v>
      </c>
      <c r="D219" s="9" t="s">
        <v>100</v>
      </c>
      <c r="E219" s="14">
        <f>_xlfn.IFNA(INDEX(Receitas!C:C,MATCH(A219,Receitas!F:F,0)),"")</f>
        <v>46137</v>
      </c>
    </row>
    <row r="220" spans="1:5" x14ac:dyDescent="0.2">
      <c r="A220" s="9" t="s">
        <v>199</v>
      </c>
      <c r="B220" s="9">
        <v>200</v>
      </c>
      <c r="C220" s="9" t="s">
        <v>235</v>
      </c>
      <c r="D220" s="9" t="s">
        <v>253</v>
      </c>
      <c r="E220" s="14">
        <f>_xlfn.IFNA(INDEX(Receitas!C:C,MATCH(A220,Receitas!F:F,0)),"")</f>
        <v>46137</v>
      </c>
    </row>
    <row r="221" spans="1:5" x14ac:dyDescent="0.2">
      <c r="A221" s="9" t="s">
        <v>199</v>
      </c>
      <c r="B221" s="9">
        <v>30</v>
      </c>
      <c r="C221" s="9" t="s">
        <v>244</v>
      </c>
      <c r="D221" s="9" t="s">
        <v>58</v>
      </c>
      <c r="E221" s="14">
        <f>_xlfn.IFNA(INDEX(Receitas!C:C,MATCH(A221,Receitas!F:F,0)),"")</f>
        <v>46137</v>
      </c>
    </row>
    <row r="222" spans="1:5" x14ac:dyDescent="0.2">
      <c r="A222" s="9" t="s">
        <v>199</v>
      </c>
      <c r="B222" s="9">
        <v>1</v>
      </c>
      <c r="C222" s="9" t="s">
        <v>237</v>
      </c>
      <c r="D222" s="9" t="s">
        <v>61</v>
      </c>
      <c r="E222" s="14">
        <f>_xlfn.IFNA(INDEX(Receitas!C:C,MATCH(A222,Receitas!F:F,0)),"")</f>
        <v>46137</v>
      </c>
    </row>
    <row r="223" spans="1:5" x14ac:dyDescent="0.2">
      <c r="A223" s="9" t="s">
        <v>199</v>
      </c>
      <c r="B223" s="9">
        <v>100</v>
      </c>
      <c r="C223" s="9" t="s">
        <v>235</v>
      </c>
      <c r="D223" s="9" t="s">
        <v>103</v>
      </c>
      <c r="E223" s="14">
        <f>_xlfn.IFNA(INDEX(Receitas!C:C,MATCH(A223,Receitas!F:F,0)),"")</f>
        <v>46137</v>
      </c>
    </row>
    <row r="224" spans="1:5" x14ac:dyDescent="0.2">
      <c r="A224" s="9" t="s">
        <v>199</v>
      </c>
      <c r="B224" s="9">
        <v>0.3</v>
      </c>
      <c r="C224" s="9" t="s">
        <v>237</v>
      </c>
      <c r="D224" s="9" t="s">
        <v>283</v>
      </c>
      <c r="E224" s="14">
        <f>_xlfn.IFNA(INDEX(Receitas!C:C,MATCH(A224,Receitas!F:F,0)),"")</f>
        <v>46137</v>
      </c>
    </row>
    <row r="225" spans="1:5" x14ac:dyDescent="0.2">
      <c r="A225" s="9" t="s">
        <v>199</v>
      </c>
      <c r="B225" s="9">
        <v>1</v>
      </c>
      <c r="C225" s="9" t="s">
        <v>237</v>
      </c>
      <c r="D225" s="9" t="s">
        <v>291</v>
      </c>
      <c r="E225" s="14">
        <f>_xlfn.IFNA(INDEX(Receitas!C:C,MATCH(A225,Receitas!F:F,0)),"")</f>
        <v>46137</v>
      </c>
    </row>
    <row r="226" spans="1:5" x14ac:dyDescent="0.2">
      <c r="A226" s="9" t="s">
        <v>199</v>
      </c>
      <c r="B226" s="9">
        <v>3</v>
      </c>
      <c r="C226" s="9" t="s">
        <v>384</v>
      </c>
      <c r="D226" s="9" t="s">
        <v>79</v>
      </c>
      <c r="E226" s="14">
        <f>_xlfn.IFNA(INDEX(Receitas!C:C,MATCH(A226,Receitas!F:F,0)),"")</f>
        <v>46137</v>
      </c>
    </row>
    <row r="227" spans="1:5" x14ac:dyDescent="0.2">
      <c r="A227" s="9" t="s">
        <v>199</v>
      </c>
      <c r="B227" s="9">
        <v>1</v>
      </c>
      <c r="C227" s="9" t="s">
        <v>237</v>
      </c>
      <c r="D227" s="9" t="s">
        <v>62</v>
      </c>
      <c r="E227" s="14">
        <f>_xlfn.IFNA(INDEX(Receitas!C:C,MATCH(A227,Receitas!F:F,0)),"")</f>
        <v>46137</v>
      </c>
    </row>
    <row r="228" spans="1:5" x14ac:dyDescent="0.2">
      <c r="A228" s="9" t="s">
        <v>199</v>
      </c>
      <c r="B228" s="9">
        <v>4</v>
      </c>
      <c r="C228" s="9" t="s">
        <v>237</v>
      </c>
      <c r="D228" s="9" t="s">
        <v>20</v>
      </c>
      <c r="E228" s="14">
        <f>_xlfn.IFNA(INDEX(Receitas!C:C,MATCH(A228,Receitas!F:F,0)),"")</f>
        <v>46137</v>
      </c>
    </row>
    <row r="229" spans="1:5" x14ac:dyDescent="0.2">
      <c r="A229" s="9" t="s">
        <v>199</v>
      </c>
      <c r="B229" s="9">
        <v>1</v>
      </c>
      <c r="C229" s="9" t="s">
        <v>383</v>
      </c>
      <c r="D229" s="9" t="s">
        <v>344</v>
      </c>
      <c r="E229" s="14">
        <f>_xlfn.IFNA(INDEX(Receitas!C:C,MATCH(A229,Receitas!F:F,0)),"")</f>
        <v>46137</v>
      </c>
    </row>
    <row r="230" spans="1:5" x14ac:dyDescent="0.2">
      <c r="A230" s="9" t="s">
        <v>199</v>
      </c>
      <c r="B230" s="9">
        <v>200</v>
      </c>
      <c r="C230" s="9" t="s">
        <v>244</v>
      </c>
      <c r="D230" s="9" t="s">
        <v>56</v>
      </c>
      <c r="E230" s="14">
        <f>_xlfn.IFNA(INDEX(Receitas!C:C,MATCH(A230,Receitas!F:F,0)),"")</f>
        <v>46137</v>
      </c>
    </row>
    <row r="231" spans="1:5" x14ac:dyDescent="0.2">
      <c r="A231" s="9" t="s">
        <v>199</v>
      </c>
      <c r="B231" s="9">
        <v>1</v>
      </c>
      <c r="C231" s="9" t="s">
        <v>383</v>
      </c>
      <c r="D231" s="9" t="s">
        <v>362</v>
      </c>
      <c r="E231" s="14">
        <f>_xlfn.IFNA(INDEX(Receitas!C:C,MATCH(A231,Receitas!F:F,0)),"")</f>
        <v>46137</v>
      </c>
    </row>
    <row r="232" spans="1:5" x14ac:dyDescent="0.2">
      <c r="A232" s="9" t="s">
        <v>214</v>
      </c>
      <c r="B232" s="9">
        <v>4</v>
      </c>
      <c r="C232" s="9" t="s">
        <v>237</v>
      </c>
      <c r="D232" s="9" t="s">
        <v>68</v>
      </c>
      <c r="E232" s="14">
        <f>_xlfn.IFNA(INDEX(Receitas!C:C,MATCH(A232,Receitas!F:F,0)),"")</f>
        <v>46153</v>
      </c>
    </row>
    <row r="233" spans="1:5" x14ac:dyDescent="0.2">
      <c r="A233" s="9" t="s">
        <v>214</v>
      </c>
      <c r="B233" s="9">
        <v>400</v>
      </c>
      <c r="C233" s="9" t="s">
        <v>235</v>
      </c>
      <c r="D233" s="9" t="s">
        <v>306</v>
      </c>
      <c r="E233" s="14">
        <f>_xlfn.IFNA(INDEX(Receitas!C:C,MATCH(A233,Receitas!F:F,0)),"")</f>
        <v>46153</v>
      </c>
    </row>
    <row r="234" spans="1:5" x14ac:dyDescent="0.2">
      <c r="A234" s="9" t="s">
        <v>214</v>
      </c>
      <c r="B234" s="9">
        <v>1</v>
      </c>
      <c r="C234" s="9" t="s">
        <v>237</v>
      </c>
      <c r="D234" s="9" t="s">
        <v>94</v>
      </c>
      <c r="E234" s="14">
        <f>_xlfn.IFNA(INDEX(Receitas!C:C,MATCH(A234,Receitas!F:F,0)),"")</f>
        <v>46153</v>
      </c>
    </row>
    <row r="235" spans="1:5" x14ac:dyDescent="0.2">
      <c r="A235" s="9" t="s">
        <v>214</v>
      </c>
      <c r="B235" s="9">
        <v>100</v>
      </c>
      <c r="C235" s="9" t="s">
        <v>235</v>
      </c>
      <c r="D235" s="9" t="s">
        <v>96</v>
      </c>
      <c r="E235" s="14">
        <f>_xlfn.IFNA(INDEX(Receitas!C:C,MATCH(A235,Receitas!F:F,0)),"")</f>
        <v>46153</v>
      </c>
    </row>
    <row r="236" spans="1:5" x14ac:dyDescent="0.2">
      <c r="A236" s="9" t="s">
        <v>214</v>
      </c>
      <c r="B236" s="9">
        <v>1</v>
      </c>
      <c r="C236" s="9" t="s">
        <v>383</v>
      </c>
      <c r="D236" s="9" t="s">
        <v>342</v>
      </c>
      <c r="E236" s="14">
        <f>_xlfn.IFNA(INDEX(Receitas!C:C,MATCH(A236,Receitas!F:F,0)),"")</f>
        <v>46153</v>
      </c>
    </row>
    <row r="237" spans="1:5" x14ac:dyDescent="0.2">
      <c r="A237" s="9" t="s">
        <v>214</v>
      </c>
      <c r="B237" s="9">
        <v>1</v>
      </c>
      <c r="C237" s="9" t="s">
        <v>383</v>
      </c>
      <c r="D237" s="9" t="s">
        <v>362</v>
      </c>
      <c r="E237" s="14">
        <f>_xlfn.IFNA(INDEX(Receitas!C:C,MATCH(A237,Receitas!F:F,0)),"")</f>
        <v>46153</v>
      </c>
    </row>
    <row r="238" spans="1:5" x14ac:dyDescent="0.2">
      <c r="A238" s="9" t="s">
        <v>173</v>
      </c>
      <c r="B238" s="9">
        <v>2</v>
      </c>
      <c r="C238" s="9" t="s">
        <v>237</v>
      </c>
      <c r="D238" s="9" t="s">
        <v>68</v>
      </c>
      <c r="E238" s="14" t="str">
        <f>_xlfn.IFNA(INDEX(Receitas!C:C,MATCH(A238,Receitas!F:F,0)),"")</f>
        <v/>
      </c>
    </row>
    <row r="239" spans="1:5" x14ac:dyDescent="0.2">
      <c r="A239" s="9" t="s">
        <v>173</v>
      </c>
      <c r="B239" s="9">
        <v>50</v>
      </c>
      <c r="C239" s="9" t="s">
        <v>244</v>
      </c>
      <c r="D239" s="9" t="s">
        <v>58</v>
      </c>
      <c r="E239" s="14" t="str">
        <f>_xlfn.IFNA(INDEX(Receitas!C:C,MATCH(A239,Receitas!F:F,0)),"")</f>
        <v/>
      </c>
    </row>
    <row r="240" spans="1:5" x14ac:dyDescent="0.2">
      <c r="A240" s="9" t="s">
        <v>173</v>
      </c>
      <c r="B240" s="9">
        <v>1</v>
      </c>
      <c r="C240" s="9" t="s">
        <v>383</v>
      </c>
      <c r="D240" s="9" t="s">
        <v>288</v>
      </c>
      <c r="E240" s="14" t="str">
        <f>_xlfn.IFNA(INDEX(Receitas!C:C,MATCH(A240,Receitas!F:F,0)),"")</f>
        <v/>
      </c>
    </row>
    <row r="241" spans="1:5" x14ac:dyDescent="0.2">
      <c r="A241" s="9" t="s">
        <v>173</v>
      </c>
      <c r="B241" s="9">
        <v>0.5</v>
      </c>
      <c r="C241" s="9" t="s">
        <v>237</v>
      </c>
      <c r="D241" s="9" t="s">
        <v>107</v>
      </c>
      <c r="E241" s="14" t="str">
        <f>_xlfn.IFNA(INDEX(Receitas!C:C,MATCH(A241,Receitas!F:F,0)),"")</f>
        <v/>
      </c>
    </row>
    <row r="242" spans="1:5" x14ac:dyDescent="0.2">
      <c r="A242" s="9" t="s">
        <v>173</v>
      </c>
      <c r="B242" s="9">
        <v>1</v>
      </c>
      <c r="C242" s="9" t="s">
        <v>237</v>
      </c>
      <c r="D242" s="9" t="s">
        <v>94</v>
      </c>
      <c r="E242" s="14" t="str">
        <f>_xlfn.IFNA(INDEX(Receitas!C:C,MATCH(A242,Receitas!F:F,0)),"")</f>
        <v/>
      </c>
    </row>
    <row r="243" spans="1:5" x14ac:dyDescent="0.2">
      <c r="A243" s="9" t="s">
        <v>173</v>
      </c>
      <c r="B243" s="9">
        <v>1</v>
      </c>
      <c r="C243" s="9" t="s">
        <v>383</v>
      </c>
      <c r="D243" s="9" t="s">
        <v>62</v>
      </c>
      <c r="E243" s="14" t="str">
        <f>_xlfn.IFNA(INDEX(Receitas!C:C,MATCH(A243,Receitas!F:F,0)),"")</f>
        <v/>
      </c>
    </row>
    <row r="244" spans="1:5" x14ac:dyDescent="0.2">
      <c r="A244" s="9" t="s">
        <v>173</v>
      </c>
      <c r="B244" s="9">
        <v>1</v>
      </c>
      <c r="C244" s="9" t="s">
        <v>383</v>
      </c>
      <c r="D244" s="9" t="s">
        <v>330</v>
      </c>
      <c r="E244" s="14" t="str">
        <f>_xlfn.IFNA(INDEX(Receitas!C:C,MATCH(A244,Receitas!F:F,0)),"")</f>
        <v/>
      </c>
    </row>
    <row r="245" spans="1:5" x14ac:dyDescent="0.2">
      <c r="A245" s="9" t="s">
        <v>173</v>
      </c>
      <c r="B245" s="9">
        <v>1</v>
      </c>
      <c r="C245" s="9" t="s">
        <v>383</v>
      </c>
      <c r="D245" s="9" t="s">
        <v>344</v>
      </c>
      <c r="E245" s="14" t="str">
        <f>_xlfn.IFNA(INDEX(Receitas!C:C,MATCH(A245,Receitas!F:F,0)),"")</f>
        <v/>
      </c>
    </row>
    <row r="246" spans="1:5" x14ac:dyDescent="0.2">
      <c r="A246" s="9" t="s">
        <v>173</v>
      </c>
      <c r="B246" s="9">
        <v>1</v>
      </c>
      <c r="C246" s="9" t="s">
        <v>383</v>
      </c>
      <c r="D246" s="9" t="s">
        <v>362</v>
      </c>
      <c r="E246" s="14" t="str">
        <f>_xlfn.IFNA(INDEX(Receitas!C:C,MATCH(A246,Receitas!F:F,0)),"")</f>
        <v/>
      </c>
    </row>
    <row r="247" spans="1:5" x14ac:dyDescent="0.2">
      <c r="A247" s="9" t="s">
        <v>162</v>
      </c>
      <c r="B247" s="9">
        <v>3</v>
      </c>
      <c r="C247" s="9" t="s">
        <v>237</v>
      </c>
      <c r="D247" s="9" t="s">
        <v>68</v>
      </c>
      <c r="E247" s="14">
        <f>_xlfn.IFNA(INDEX(Receitas!C:C,MATCH(A247,Receitas!F:F,0)),"")</f>
        <v>46159</v>
      </c>
    </row>
    <row r="248" spans="1:5" x14ac:dyDescent="0.2">
      <c r="A248" s="9" t="s">
        <v>162</v>
      </c>
      <c r="B248" s="9">
        <v>20</v>
      </c>
      <c r="C248" s="9" t="s">
        <v>244</v>
      </c>
      <c r="D248" s="9" t="s">
        <v>58</v>
      </c>
      <c r="E248" s="14">
        <f>_xlfn.IFNA(INDEX(Receitas!C:C,MATCH(A248,Receitas!F:F,0)),"")</f>
        <v>46159</v>
      </c>
    </row>
    <row r="249" spans="1:5" x14ac:dyDescent="0.2">
      <c r="A249" s="9" t="s">
        <v>162</v>
      </c>
      <c r="B249" s="9">
        <v>100</v>
      </c>
      <c r="C249" s="9" t="s">
        <v>235</v>
      </c>
      <c r="D249" s="9" t="s">
        <v>86</v>
      </c>
      <c r="E249" s="14">
        <f>_xlfn.IFNA(INDEX(Receitas!C:C,MATCH(A249,Receitas!F:F,0)),"")</f>
        <v>46159</v>
      </c>
    </row>
    <row r="250" spans="1:5" x14ac:dyDescent="0.2">
      <c r="A250" s="9" t="s">
        <v>162</v>
      </c>
      <c r="B250" s="9">
        <v>1</v>
      </c>
      <c r="C250" s="9" t="s">
        <v>237</v>
      </c>
      <c r="D250" s="9" t="s">
        <v>72</v>
      </c>
      <c r="E250" s="14">
        <f>_xlfn.IFNA(INDEX(Receitas!C:C,MATCH(A250,Receitas!F:F,0)),"")</f>
        <v>46159</v>
      </c>
    </row>
    <row r="251" spans="1:5" x14ac:dyDescent="0.2">
      <c r="A251" s="9" t="s">
        <v>162</v>
      </c>
      <c r="B251" s="9">
        <v>200</v>
      </c>
      <c r="C251" s="9" t="s">
        <v>235</v>
      </c>
      <c r="D251" s="9" t="s">
        <v>89</v>
      </c>
      <c r="E251" s="14">
        <f>_xlfn.IFNA(INDEX(Receitas!C:C,MATCH(A251,Receitas!F:F,0)),"")</f>
        <v>46159</v>
      </c>
    </row>
    <row r="252" spans="1:5" x14ac:dyDescent="0.2">
      <c r="A252" s="9" t="s">
        <v>162</v>
      </c>
      <c r="B252" s="9">
        <v>4</v>
      </c>
      <c r="C252" s="9" t="s">
        <v>237</v>
      </c>
      <c r="D252" s="9" t="s">
        <v>83</v>
      </c>
      <c r="E252" s="14">
        <f>_xlfn.IFNA(INDEX(Receitas!C:C,MATCH(A252,Receitas!F:F,0)),"")</f>
        <v>46159</v>
      </c>
    </row>
    <row r="253" spans="1:5" x14ac:dyDescent="0.2">
      <c r="A253" s="9" t="s">
        <v>162</v>
      </c>
      <c r="B253" s="9">
        <v>30</v>
      </c>
      <c r="C253" s="9" t="s">
        <v>235</v>
      </c>
      <c r="D253" s="9" t="s">
        <v>52</v>
      </c>
      <c r="E253" s="14">
        <f>_xlfn.IFNA(INDEX(Receitas!C:C,MATCH(A253,Receitas!F:F,0)),"")</f>
        <v>46159</v>
      </c>
    </row>
    <row r="254" spans="1:5" x14ac:dyDescent="0.2">
      <c r="A254" s="9" t="s">
        <v>162</v>
      </c>
      <c r="B254" s="9">
        <v>0.5</v>
      </c>
      <c r="C254" s="9" t="s">
        <v>237</v>
      </c>
      <c r="D254" s="9" t="s">
        <v>107</v>
      </c>
      <c r="E254" s="14">
        <f>_xlfn.IFNA(INDEX(Receitas!C:C,MATCH(A254,Receitas!F:F,0)),"")</f>
        <v>46159</v>
      </c>
    </row>
    <row r="255" spans="1:5" x14ac:dyDescent="0.2">
      <c r="A255" s="9" t="s">
        <v>162</v>
      </c>
      <c r="B255" s="9">
        <v>1</v>
      </c>
      <c r="C255" s="9" t="s">
        <v>237</v>
      </c>
      <c r="D255" s="9" t="s">
        <v>62</v>
      </c>
      <c r="E255" s="14">
        <f>_xlfn.IFNA(INDEX(Receitas!C:C,MATCH(A255,Receitas!F:F,0)),"")</f>
        <v>46159</v>
      </c>
    </row>
    <row r="256" spans="1:5" x14ac:dyDescent="0.2">
      <c r="A256" s="9" t="s">
        <v>162</v>
      </c>
      <c r="B256" s="9">
        <v>1</v>
      </c>
      <c r="C256" s="9" t="s">
        <v>237</v>
      </c>
      <c r="D256" s="9" t="s">
        <v>55</v>
      </c>
      <c r="E256" s="14">
        <f>_xlfn.IFNA(INDEX(Receitas!C:C,MATCH(A256,Receitas!F:F,0)),"")</f>
        <v>46159</v>
      </c>
    </row>
    <row r="257" spans="1:5" x14ac:dyDescent="0.2">
      <c r="A257" s="9" t="s">
        <v>162</v>
      </c>
      <c r="B257" s="9">
        <v>1</v>
      </c>
      <c r="C257" s="9" t="s">
        <v>383</v>
      </c>
      <c r="D257" s="9" t="s">
        <v>344</v>
      </c>
      <c r="E257" s="14">
        <f>_xlfn.IFNA(INDEX(Receitas!C:C,MATCH(A257,Receitas!F:F,0)),"")</f>
        <v>46159</v>
      </c>
    </row>
    <row r="258" spans="1:5" x14ac:dyDescent="0.2">
      <c r="A258" s="9" t="s">
        <v>162</v>
      </c>
      <c r="B258" s="9">
        <v>30</v>
      </c>
      <c r="C258" s="9" t="s">
        <v>244</v>
      </c>
      <c r="D258" s="9" t="s">
        <v>56</v>
      </c>
      <c r="E258" s="14">
        <f>_xlfn.IFNA(INDEX(Receitas!C:C,MATCH(A258,Receitas!F:F,0)),"")</f>
        <v>46159</v>
      </c>
    </row>
    <row r="259" spans="1:5" x14ac:dyDescent="0.2">
      <c r="A259" s="9" t="s">
        <v>162</v>
      </c>
      <c r="B259" s="9">
        <v>1</v>
      </c>
      <c r="C259" s="9" t="s">
        <v>383</v>
      </c>
      <c r="D259" s="9" t="s">
        <v>362</v>
      </c>
      <c r="E259" s="14">
        <f>_xlfn.IFNA(INDEX(Receitas!C:C,MATCH(A259,Receitas!F:F,0)),"")</f>
        <v>46159</v>
      </c>
    </row>
    <row r="260" spans="1:5" x14ac:dyDescent="0.2">
      <c r="A260" s="9" t="s">
        <v>162</v>
      </c>
      <c r="B260" s="9">
        <v>1</v>
      </c>
      <c r="C260" s="9" t="s">
        <v>383</v>
      </c>
      <c r="D260" s="9" t="s">
        <v>372</v>
      </c>
      <c r="E260" s="14">
        <f>_xlfn.IFNA(INDEX(Receitas!C:C,MATCH(A260,Receitas!F:F,0)),"")</f>
        <v>46159</v>
      </c>
    </row>
    <row r="261" spans="1:5" x14ac:dyDescent="0.2">
      <c r="A261" s="9" t="s">
        <v>162</v>
      </c>
      <c r="B261" s="9">
        <v>300</v>
      </c>
      <c r="C261" s="9" t="s">
        <v>235</v>
      </c>
      <c r="D261" s="9" t="s">
        <v>67</v>
      </c>
      <c r="E261" s="14">
        <f>_xlfn.IFNA(INDEX(Receitas!C:C,MATCH(A261,Receitas!F:F,0)),"")</f>
        <v>46159</v>
      </c>
    </row>
    <row r="262" spans="1:5" x14ac:dyDescent="0.2">
      <c r="A262" s="9" t="s">
        <v>210</v>
      </c>
      <c r="B262" s="9">
        <v>30</v>
      </c>
      <c r="C262" s="9" t="s">
        <v>244</v>
      </c>
      <c r="D262" s="9" t="s">
        <v>58</v>
      </c>
      <c r="E262" s="14">
        <f>_xlfn.IFNA(INDEX(Receitas!C:C,MATCH(A262,Receitas!F:F,0)),"")</f>
        <v>46170</v>
      </c>
    </row>
    <row r="263" spans="1:5" x14ac:dyDescent="0.2">
      <c r="A263" s="9" t="s">
        <v>210</v>
      </c>
      <c r="B263" s="9">
        <v>1</v>
      </c>
      <c r="C263" s="9" t="s">
        <v>237</v>
      </c>
      <c r="D263" s="9" t="s">
        <v>273</v>
      </c>
      <c r="E263" s="14">
        <f>_xlfn.IFNA(INDEX(Receitas!C:C,MATCH(A263,Receitas!F:F,0)),"")</f>
        <v>46170</v>
      </c>
    </row>
    <row r="264" spans="1:5" x14ac:dyDescent="0.2">
      <c r="A264" s="9" t="s">
        <v>210</v>
      </c>
      <c r="B264" s="9">
        <v>100</v>
      </c>
      <c r="C264" s="9" t="s">
        <v>235</v>
      </c>
      <c r="D264" s="9" t="s">
        <v>276</v>
      </c>
      <c r="E264" s="14">
        <f>_xlfn.IFNA(INDEX(Receitas!C:C,MATCH(A264,Receitas!F:F,0)),"")</f>
        <v>46170</v>
      </c>
    </row>
    <row r="265" spans="1:5" x14ac:dyDescent="0.2">
      <c r="A265" s="9" t="s">
        <v>210</v>
      </c>
      <c r="B265" s="9">
        <v>0.5</v>
      </c>
      <c r="C265" s="9" t="s">
        <v>237</v>
      </c>
      <c r="D265" s="9" t="s">
        <v>107</v>
      </c>
      <c r="E265" s="14">
        <f>_xlfn.IFNA(INDEX(Receitas!C:C,MATCH(A265,Receitas!F:F,0)),"")</f>
        <v>46170</v>
      </c>
    </row>
    <row r="266" spans="1:5" x14ac:dyDescent="0.2">
      <c r="A266" s="9" t="s">
        <v>196</v>
      </c>
      <c r="B266" s="9">
        <v>30</v>
      </c>
      <c r="C266" s="9" t="s">
        <v>244</v>
      </c>
      <c r="D266" s="9" t="s">
        <v>58</v>
      </c>
      <c r="E266" s="14">
        <f>_xlfn.IFNA(INDEX(Receitas!C:C,MATCH(A266,Receitas!F:F,0)),"")</f>
        <v>46161</v>
      </c>
    </row>
    <row r="267" spans="1:5" x14ac:dyDescent="0.2">
      <c r="A267" s="9" t="s">
        <v>196</v>
      </c>
      <c r="B267" s="9">
        <v>1</v>
      </c>
      <c r="C267" s="9" t="s">
        <v>237</v>
      </c>
      <c r="D267" s="9" t="s">
        <v>273</v>
      </c>
      <c r="E267" s="14">
        <f>_xlfn.IFNA(INDEX(Receitas!C:C,MATCH(A267,Receitas!F:F,0)),"")</f>
        <v>46161</v>
      </c>
    </row>
    <row r="268" spans="1:5" x14ac:dyDescent="0.2">
      <c r="A268" s="9" t="s">
        <v>196</v>
      </c>
      <c r="B268" s="9">
        <v>100</v>
      </c>
      <c r="C268" s="9" t="s">
        <v>235</v>
      </c>
      <c r="D268" s="9" t="s">
        <v>103</v>
      </c>
      <c r="E268" s="14">
        <f>_xlfn.IFNA(INDEX(Receitas!C:C,MATCH(A268,Receitas!F:F,0)),"")</f>
        <v>46161</v>
      </c>
    </row>
    <row r="269" spans="1:5" x14ac:dyDescent="0.2">
      <c r="A269" s="9" t="s">
        <v>196</v>
      </c>
      <c r="B269" s="9">
        <v>1</v>
      </c>
      <c r="C269" s="9" t="s">
        <v>237</v>
      </c>
      <c r="D269" s="9" t="s">
        <v>281</v>
      </c>
      <c r="E269" s="14">
        <f>_xlfn.IFNA(INDEX(Receitas!C:C,MATCH(A269,Receitas!F:F,0)),"")</f>
        <v>46161</v>
      </c>
    </row>
    <row r="270" spans="1:5" x14ac:dyDescent="0.2">
      <c r="A270" s="9" t="s">
        <v>196</v>
      </c>
      <c r="B270" s="9">
        <v>0.5</v>
      </c>
      <c r="C270" s="9" t="s">
        <v>237</v>
      </c>
      <c r="D270" s="9" t="s">
        <v>107</v>
      </c>
      <c r="E270" s="14">
        <f>_xlfn.IFNA(INDEX(Receitas!C:C,MATCH(A270,Receitas!F:F,0)),"")</f>
        <v>46161</v>
      </c>
    </row>
    <row r="271" spans="1:5" x14ac:dyDescent="0.2">
      <c r="A271" s="9" t="s">
        <v>196</v>
      </c>
      <c r="B271" s="9">
        <v>1</v>
      </c>
      <c r="C271" s="9" t="s">
        <v>237</v>
      </c>
      <c r="D271" s="9" t="s">
        <v>62</v>
      </c>
      <c r="E271" s="14">
        <f>_xlfn.IFNA(INDEX(Receitas!C:C,MATCH(A271,Receitas!F:F,0)),"")</f>
        <v>46161</v>
      </c>
    </row>
    <row r="272" spans="1:5" x14ac:dyDescent="0.2">
      <c r="A272" s="9" t="s">
        <v>211</v>
      </c>
      <c r="B272" s="9">
        <v>10</v>
      </c>
      <c r="C272" s="9" t="s">
        <v>235</v>
      </c>
      <c r="D272" s="9" t="s">
        <v>100</v>
      </c>
      <c r="E272" s="14">
        <f>_xlfn.IFNA(INDEX(Receitas!C:C,MATCH(A272,Receitas!F:F,0)),"")</f>
        <v>46147</v>
      </c>
    </row>
    <row r="273" spans="1:5" x14ac:dyDescent="0.2">
      <c r="A273" s="9" t="s">
        <v>211</v>
      </c>
      <c r="B273" s="9">
        <v>30</v>
      </c>
      <c r="C273" s="9" t="s">
        <v>244</v>
      </c>
      <c r="D273" s="9" t="s">
        <v>58</v>
      </c>
      <c r="E273" s="14">
        <f>_xlfn.IFNA(INDEX(Receitas!C:C,MATCH(A273,Receitas!F:F,0)),"")</f>
        <v>46147</v>
      </c>
    </row>
    <row r="274" spans="1:5" x14ac:dyDescent="0.2">
      <c r="A274" s="9" t="s">
        <v>211</v>
      </c>
      <c r="B274" s="9">
        <v>1</v>
      </c>
      <c r="C274" s="9" t="s">
        <v>237</v>
      </c>
      <c r="D274" s="9" t="s">
        <v>273</v>
      </c>
      <c r="E274" s="14">
        <f>_xlfn.IFNA(INDEX(Receitas!C:C,MATCH(A274,Receitas!F:F,0)),"")</f>
        <v>46147</v>
      </c>
    </row>
    <row r="275" spans="1:5" x14ac:dyDescent="0.2">
      <c r="A275" s="9" t="s">
        <v>211</v>
      </c>
      <c r="B275" s="9">
        <v>100</v>
      </c>
      <c r="C275" s="9" t="s">
        <v>235</v>
      </c>
      <c r="D275" s="9" t="s">
        <v>103</v>
      </c>
      <c r="E275" s="14">
        <f>_xlfn.IFNA(INDEX(Receitas!C:C,MATCH(A275,Receitas!F:F,0)),"")</f>
        <v>46147</v>
      </c>
    </row>
    <row r="276" spans="1:5" x14ac:dyDescent="0.2">
      <c r="A276" s="9" t="s">
        <v>211</v>
      </c>
      <c r="B276" s="9">
        <v>0.5</v>
      </c>
      <c r="C276" s="9" t="s">
        <v>237</v>
      </c>
      <c r="D276" s="9" t="s">
        <v>107</v>
      </c>
      <c r="E276" s="14">
        <f>_xlfn.IFNA(INDEX(Receitas!C:C,MATCH(A276,Receitas!F:F,0)),"")</f>
        <v>46147</v>
      </c>
    </row>
    <row r="277" spans="1:5" x14ac:dyDescent="0.2">
      <c r="A277" s="9" t="s">
        <v>211</v>
      </c>
      <c r="B277" s="9">
        <v>1</v>
      </c>
      <c r="C277" s="9" t="s">
        <v>237</v>
      </c>
      <c r="D277" s="9" t="s">
        <v>62</v>
      </c>
      <c r="E277" s="14">
        <f>_xlfn.IFNA(INDEX(Receitas!C:C,MATCH(A277,Receitas!F:F,0)),"")</f>
        <v>46147</v>
      </c>
    </row>
    <row r="278" spans="1:5" x14ac:dyDescent="0.2">
      <c r="A278" s="9" t="s">
        <v>211</v>
      </c>
      <c r="B278" s="9">
        <v>1</v>
      </c>
      <c r="C278" s="9" t="s">
        <v>384</v>
      </c>
      <c r="D278" s="9" t="s">
        <v>318</v>
      </c>
      <c r="E278" s="14">
        <f>_xlfn.IFNA(INDEX(Receitas!C:C,MATCH(A278,Receitas!F:F,0)),"")</f>
        <v>46147</v>
      </c>
    </row>
    <row r="279" spans="1:5" x14ac:dyDescent="0.2">
      <c r="A279" s="9" t="s">
        <v>211</v>
      </c>
      <c r="B279" s="9">
        <v>1</v>
      </c>
      <c r="C279" s="9" t="s">
        <v>383</v>
      </c>
      <c r="D279" s="9" t="s">
        <v>344</v>
      </c>
      <c r="E279" s="14">
        <f>_xlfn.IFNA(INDEX(Receitas!C:C,MATCH(A279,Receitas!F:F,0)),"")</f>
        <v>46147</v>
      </c>
    </row>
    <row r="280" spans="1:5" x14ac:dyDescent="0.2">
      <c r="A280" s="9" t="s">
        <v>211</v>
      </c>
      <c r="B280" s="9">
        <v>100</v>
      </c>
      <c r="C280" s="9" t="s">
        <v>244</v>
      </c>
      <c r="D280" s="9" t="s">
        <v>56</v>
      </c>
      <c r="E280" s="14">
        <f>_xlfn.IFNA(INDEX(Receitas!C:C,MATCH(A280,Receitas!F:F,0)),"")</f>
        <v>46147</v>
      </c>
    </row>
    <row r="281" spans="1:5" x14ac:dyDescent="0.2">
      <c r="A281" s="9" t="s">
        <v>211</v>
      </c>
      <c r="B281" s="9">
        <v>1</v>
      </c>
      <c r="C281" s="9" t="s">
        <v>383</v>
      </c>
      <c r="D281" s="9" t="s">
        <v>362</v>
      </c>
      <c r="E281" s="14">
        <f>_xlfn.IFNA(INDEX(Receitas!C:C,MATCH(A281,Receitas!F:F,0)),"")</f>
        <v>46147</v>
      </c>
    </row>
    <row r="282" spans="1:5" x14ac:dyDescent="0.2">
      <c r="A282" s="9" t="s">
        <v>211</v>
      </c>
      <c r="B282" s="9">
        <v>100</v>
      </c>
      <c r="C282" s="9" t="s">
        <v>244</v>
      </c>
      <c r="D282" s="9" t="s">
        <v>66</v>
      </c>
      <c r="E282" s="14">
        <f>_xlfn.IFNA(INDEX(Receitas!C:C,MATCH(A282,Receitas!F:F,0)),"")</f>
        <v>46147</v>
      </c>
    </row>
    <row r="283" spans="1:5" x14ac:dyDescent="0.2">
      <c r="A283" s="9" t="s">
        <v>182</v>
      </c>
      <c r="B283" s="9">
        <v>20</v>
      </c>
      <c r="C283" s="9" t="s">
        <v>235</v>
      </c>
      <c r="D283" s="9" t="s">
        <v>100</v>
      </c>
      <c r="E283" s="14">
        <f>_xlfn.IFNA(INDEX(Receitas!C:C,MATCH(A283,Receitas!F:F,0)),"")</f>
        <v>46168</v>
      </c>
    </row>
    <row r="284" spans="1:5" x14ac:dyDescent="0.2">
      <c r="A284" s="9" t="s">
        <v>182</v>
      </c>
      <c r="B284" s="9">
        <v>50</v>
      </c>
      <c r="C284" s="9" t="s">
        <v>244</v>
      </c>
      <c r="D284" s="9" t="s">
        <v>58</v>
      </c>
      <c r="E284" s="14">
        <f>_xlfn.IFNA(INDEX(Receitas!C:C,MATCH(A284,Receitas!F:F,0)),"")</f>
        <v>46168</v>
      </c>
    </row>
    <row r="285" spans="1:5" x14ac:dyDescent="0.2">
      <c r="A285" s="9" t="s">
        <v>182</v>
      </c>
      <c r="B285" s="9">
        <v>1</v>
      </c>
      <c r="C285" s="9" t="s">
        <v>237</v>
      </c>
      <c r="D285" s="9" t="s">
        <v>273</v>
      </c>
      <c r="E285" s="14">
        <f>_xlfn.IFNA(INDEX(Receitas!C:C,MATCH(A285,Receitas!F:F,0)),"")</f>
        <v>46168</v>
      </c>
    </row>
    <row r="286" spans="1:5" x14ac:dyDescent="0.2">
      <c r="A286" s="9" t="s">
        <v>182</v>
      </c>
      <c r="B286" s="9">
        <v>100</v>
      </c>
      <c r="C286" s="9" t="s">
        <v>235</v>
      </c>
      <c r="D286" s="9" t="s">
        <v>103</v>
      </c>
      <c r="E286" s="14">
        <f>_xlfn.IFNA(INDEX(Receitas!C:C,MATCH(A286,Receitas!F:F,0)),"")</f>
        <v>46168</v>
      </c>
    </row>
    <row r="287" spans="1:5" x14ac:dyDescent="0.2">
      <c r="A287" s="9" t="s">
        <v>182</v>
      </c>
      <c r="B287" s="9">
        <v>30</v>
      </c>
      <c r="C287" s="9" t="s">
        <v>235</v>
      </c>
      <c r="D287" s="9" t="s">
        <v>301</v>
      </c>
      <c r="E287" s="14">
        <f>_xlfn.IFNA(INDEX(Receitas!C:C,MATCH(A287,Receitas!F:F,0)),"")</f>
        <v>46168</v>
      </c>
    </row>
    <row r="288" spans="1:5" x14ac:dyDescent="0.2">
      <c r="A288" s="9" t="s">
        <v>182</v>
      </c>
      <c r="B288" s="9">
        <v>0.5</v>
      </c>
      <c r="C288" s="9" t="s">
        <v>237</v>
      </c>
      <c r="D288" s="9" t="s">
        <v>107</v>
      </c>
      <c r="E288" s="14">
        <f>_xlfn.IFNA(INDEX(Receitas!C:C,MATCH(A288,Receitas!F:F,0)),"")</f>
        <v>46168</v>
      </c>
    </row>
    <row r="289" spans="1:5" x14ac:dyDescent="0.2">
      <c r="A289" s="9" t="s">
        <v>182</v>
      </c>
      <c r="B289" s="9">
        <v>1</v>
      </c>
      <c r="C289" s="9" t="s">
        <v>237</v>
      </c>
      <c r="D289" s="9" t="s">
        <v>94</v>
      </c>
      <c r="E289" s="14">
        <f>_xlfn.IFNA(INDEX(Receitas!C:C,MATCH(A289,Receitas!F:F,0)),"")</f>
        <v>46168</v>
      </c>
    </row>
    <row r="290" spans="1:5" x14ac:dyDescent="0.2">
      <c r="A290" s="9" t="s">
        <v>182</v>
      </c>
      <c r="B290" s="9">
        <v>1</v>
      </c>
      <c r="C290" s="9" t="s">
        <v>237</v>
      </c>
      <c r="D290" s="9" t="s">
        <v>62</v>
      </c>
      <c r="E290" s="14">
        <f>_xlfn.IFNA(INDEX(Receitas!C:C,MATCH(A290,Receitas!F:F,0)),"")</f>
        <v>46168</v>
      </c>
    </row>
    <row r="291" spans="1:5" x14ac:dyDescent="0.2">
      <c r="A291" s="9" t="s">
        <v>182</v>
      </c>
      <c r="B291" s="9">
        <v>2</v>
      </c>
      <c r="C291" s="9" t="s">
        <v>237</v>
      </c>
      <c r="D291" s="9" t="s">
        <v>20</v>
      </c>
      <c r="E291" s="14">
        <f>_xlfn.IFNA(INDEX(Receitas!C:C,MATCH(A291,Receitas!F:F,0)),"")</f>
        <v>46168</v>
      </c>
    </row>
    <row r="292" spans="1:5" x14ac:dyDescent="0.2">
      <c r="A292" s="9" t="s">
        <v>182</v>
      </c>
      <c r="B292" s="9">
        <v>1</v>
      </c>
      <c r="C292" s="9" t="s">
        <v>383</v>
      </c>
      <c r="D292" s="9" t="s">
        <v>344</v>
      </c>
      <c r="E292" s="14">
        <f>_xlfn.IFNA(INDEX(Receitas!C:C,MATCH(A292,Receitas!F:F,0)),"")</f>
        <v>46168</v>
      </c>
    </row>
    <row r="293" spans="1:5" x14ac:dyDescent="0.2">
      <c r="A293" s="9" t="s">
        <v>182</v>
      </c>
      <c r="B293" s="9">
        <v>1</v>
      </c>
      <c r="C293" s="9" t="s">
        <v>383</v>
      </c>
      <c r="D293" s="9" t="s">
        <v>362</v>
      </c>
      <c r="E293" s="14">
        <f>_xlfn.IFNA(INDEX(Receitas!C:C,MATCH(A293,Receitas!F:F,0)),"")</f>
        <v>46168</v>
      </c>
    </row>
    <row r="294" spans="1:5" x14ac:dyDescent="0.2">
      <c r="A294" s="9" t="s">
        <v>182</v>
      </c>
      <c r="B294" s="9">
        <v>20</v>
      </c>
      <c r="C294" s="9" t="s">
        <v>235</v>
      </c>
      <c r="D294" s="9" t="s">
        <v>363</v>
      </c>
      <c r="E294" s="14">
        <f>_xlfn.IFNA(INDEX(Receitas!C:C,MATCH(A294,Receitas!F:F,0)),"")</f>
        <v>46168</v>
      </c>
    </row>
    <row r="295" spans="1:5" x14ac:dyDescent="0.2">
      <c r="A295" s="9" t="s">
        <v>182</v>
      </c>
      <c r="B295" s="9">
        <v>150</v>
      </c>
      <c r="C295" s="9" t="s">
        <v>244</v>
      </c>
      <c r="D295" s="9" t="s">
        <v>66</v>
      </c>
      <c r="E295" s="14">
        <f>_xlfn.IFNA(INDEX(Receitas!C:C,MATCH(A295,Receitas!F:F,0)),"")</f>
        <v>46168</v>
      </c>
    </row>
    <row r="296" spans="1:5" x14ac:dyDescent="0.2">
      <c r="A296" s="9" t="s">
        <v>209</v>
      </c>
      <c r="B296" s="9">
        <v>30</v>
      </c>
      <c r="C296" s="9" t="s">
        <v>244</v>
      </c>
      <c r="D296" s="9" t="s">
        <v>58</v>
      </c>
      <c r="E296" s="14">
        <f>_xlfn.IFNA(INDEX(Receitas!C:C,MATCH(A296,Receitas!F:F,0)),"")</f>
        <v>46130</v>
      </c>
    </row>
    <row r="297" spans="1:5" x14ac:dyDescent="0.2">
      <c r="A297" s="9" t="s">
        <v>209</v>
      </c>
      <c r="B297" s="9">
        <v>100</v>
      </c>
      <c r="C297" s="9" t="s">
        <v>235</v>
      </c>
      <c r="D297" s="9" t="s">
        <v>60</v>
      </c>
      <c r="E297" s="14">
        <f>_xlfn.IFNA(INDEX(Receitas!C:C,MATCH(A297,Receitas!F:F,0)),"")</f>
        <v>46130</v>
      </c>
    </row>
    <row r="298" spans="1:5" x14ac:dyDescent="0.2">
      <c r="A298" s="9" t="s">
        <v>209</v>
      </c>
      <c r="B298" s="9">
        <v>100</v>
      </c>
      <c r="C298" s="9" t="s">
        <v>235</v>
      </c>
      <c r="D298" s="9" t="s">
        <v>103</v>
      </c>
      <c r="E298" s="14">
        <f>_xlfn.IFNA(INDEX(Receitas!C:C,MATCH(A298,Receitas!F:F,0)),"")</f>
        <v>46130</v>
      </c>
    </row>
    <row r="299" spans="1:5" x14ac:dyDescent="0.2">
      <c r="A299" s="9" t="s">
        <v>209</v>
      </c>
      <c r="B299" s="9">
        <v>1</v>
      </c>
      <c r="C299" s="9" t="s">
        <v>383</v>
      </c>
      <c r="D299" s="9" t="s">
        <v>277</v>
      </c>
      <c r="E299" s="14">
        <f>_xlfn.IFNA(INDEX(Receitas!C:C,MATCH(A299,Receitas!F:F,0)),"")</f>
        <v>46130</v>
      </c>
    </row>
    <row r="300" spans="1:5" x14ac:dyDescent="0.2">
      <c r="A300" s="9" t="s">
        <v>209</v>
      </c>
      <c r="B300" s="9">
        <v>1</v>
      </c>
      <c r="C300" s="9" t="s">
        <v>383</v>
      </c>
      <c r="D300" s="9" t="s">
        <v>288</v>
      </c>
      <c r="E300" s="14">
        <f>_xlfn.IFNA(INDEX(Receitas!C:C,MATCH(A300,Receitas!F:F,0)),"")</f>
        <v>46130</v>
      </c>
    </row>
    <row r="301" spans="1:5" x14ac:dyDescent="0.2">
      <c r="A301" s="9" t="s">
        <v>209</v>
      </c>
      <c r="B301" s="9">
        <v>0.5</v>
      </c>
      <c r="C301" s="9" t="s">
        <v>237</v>
      </c>
      <c r="D301" s="9" t="s">
        <v>107</v>
      </c>
      <c r="E301" s="14">
        <f>_xlfn.IFNA(INDEX(Receitas!C:C,MATCH(A301,Receitas!F:F,0)),"")</f>
        <v>46130</v>
      </c>
    </row>
    <row r="302" spans="1:5" x14ac:dyDescent="0.2">
      <c r="A302" s="9" t="s">
        <v>209</v>
      </c>
      <c r="B302" s="9">
        <v>10</v>
      </c>
      <c r="C302" s="9" t="s">
        <v>244</v>
      </c>
      <c r="D302" s="9" t="s">
        <v>85</v>
      </c>
      <c r="E302" s="14">
        <f>_xlfn.IFNA(INDEX(Receitas!C:C,MATCH(A302,Receitas!F:F,0)),"")</f>
        <v>46130</v>
      </c>
    </row>
    <row r="303" spans="1:5" x14ac:dyDescent="0.2">
      <c r="A303" s="9" t="s">
        <v>209</v>
      </c>
      <c r="B303" s="9">
        <v>10</v>
      </c>
      <c r="C303" s="9" t="s">
        <v>244</v>
      </c>
      <c r="D303" s="9" t="s">
        <v>326</v>
      </c>
      <c r="E303" s="14">
        <f>_xlfn.IFNA(INDEX(Receitas!C:C,MATCH(A303,Receitas!F:F,0)),"")</f>
        <v>46130</v>
      </c>
    </row>
    <row r="304" spans="1:5" x14ac:dyDescent="0.2">
      <c r="A304" s="9" t="s">
        <v>209</v>
      </c>
      <c r="B304" s="9">
        <v>1</v>
      </c>
      <c r="C304" s="9" t="s">
        <v>383</v>
      </c>
      <c r="D304" s="9" t="s">
        <v>344</v>
      </c>
      <c r="E304" s="14">
        <f>_xlfn.IFNA(INDEX(Receitas!C:C,MATCH(A304,Receitas!F:F,0)),"")</f>
        <v>46130</v>
      </c>
    </row>
    <row r="305" spans="1:5" x14ac:dyDescent="0.2">
      <c r="A305" s="9" t="s">
        <v>209</v>
      </c>
      <c r="B305" s="9">
        <v>1</v>
      </c>
      <c r="C305" s="9" t="s">
        <v>237</v>
      </c>
      <c r="D305" s="9" t="s">
        <v>98</v>
      </c>
      <c r="E305" s="14">
        <f>_xlfn.IFNA(INDEX(Receitas!C:C,MATCH(A305,Receitas!F:F,0)),"")</f>
        <v>46130</v>
      </c>
    </row>
    <row r="306" spans="1:5" x14ac:dyDescent="0.2">
      <c r="A306" s="9" t="s">
        <v>209</v>
      </c>
      <c r="B306" s="9">
        <v>30</v>
      </c>
      <c r="C306" s="9" t="s">
        <v>244</v>
      </c>
      <c r="D306" s="9" t="s">
        <v>56</v>
      </c>
      <c r="E306" s="14">
        <f>_xlfn.IFNA(INDEX(Receitas!C:C,MATCH(A306,Receitas!F:F,0)),"")</f>
        <v>46130</v>
      </c>
    </row>
    <row r="307" spans="1:5" x14ac:dyDescent="0.2">
      <c r="A307" s="9" t="s">
        <v>209</v>
      </c>
      <c r="B307" s="9">
        <v>1</v>
      </c>
      <c r="C307" s="9" t="s">
        <v>383</v>
      </c>
      <c r="D307" s="9" t="s">
        <v>362</v>
      </c>
      <c r="E307" s="14">
        <f>_xlfn.IFNA(INDEX(Receitas!C:C,MATCH(A307,Receitas!F:F,0)),"")</f>
        <v>46130</v>
      </c>
    </row>
    <row r="308" spans="1:5" x14ac:dyDescent="0.2">
      <c r="A308" s="9" t="s">
        <v>209</v>
      </c>
      <c r="B308" s="9">
        <v>10</v>
      </c>
      <c r="C308" s="9" t="s">
        <v>235</v>
      </c>
      <c r="D308" s="9" t="s">
        <v>363</v>
      </c>
      <c r="E308" s="14">
        <f>_xlfn.IFNA(INDEX(Receitas!C:C,MATCH(A308,Receitas!F:F,0)),"")</f>
        <v>46130</v>
      </c>
    </row>
    <row r="309" spans="1:5" x14ac:dyDescent="0.2">
      <c r="A309" s="9" t="s">
        <v>209</v>
      </c>
      <c r="B309" s="9">
        <v>1</v>
      </c>
      <c r="C309" s="9" t="s">
        <v>237</v>
      </c>
      <c r="D309" s="9" t="s">
        <v>147</v>
      </c>
      <c r="E309" s="14">
        <f>_xlfn.IFNA(INDEX(Receitas!C:C,MATCH(A309,Receitas!F:F,0)),"")</f>
        <v>46130</v>
      </c>
    </row>
    <row r="310" spans="1:5" x14ac:dyDescent="0.2">
      <c r="A310" s="9" t="s">
        <v>175</v>
      </c>
      <c r="B310" s="9">
        <v>10</v>
      </c>
      <c r="C310" s="9" t="s">
        <v>235</v>
      </c>
      <c r="D310" s="9" t="s">
        <v>100</v>
      </c>
      <c r="E310" s="14">
        <f>_xlfn.IFNA(INDEX(Receitas!C:C,MATCH(A310,Receitas!F:F,0)),"")</f>
        <v>46166</v>
      </c>
    </row>
    <row r="311" spans="1:5" x14ac:dyDescent="0.2">
      <c r="A311" s="9" t="s">
        <v>175</v>
      </c>
      <c r="B311" s="9">
        <v>30</v>
      </c>
      <c r="C311" s="9" t="s">
        <v>244</v>
      </c>
      <c r="D311" s="9" t="s">
        <v>58</v>
      </c>
      <c r="E311" s="14">
        <f>_xlfn.IFNA(INDEX(Receitas!C:C,MATCH(A311,Receitas!F:F,0)),"")</f>
        <v>46166</v>
      </c>
    </row>
    <row r="312" spans="1:5" x14ac:dyDescent="0.2">
      <c r="A312" s="9" t="s">
        <v>175</v>
      </c>
      <c r="B312" s="9">
        <v>100</v>
      </c>
      <c r="C312" s="9" t="s">
        <v>235</v>
      </c>
      <c r="D312" s="9" t="s">
        <v>103</v>
      </c>
      <c r="E312" s="14">
        <f>_xlfn.IFNA(INDEX(Receitas!C:C,MATCH(A312,Receitas!F:F,0)),"")</f>
        <v>46166</v>
      </c>
    </row>
    <row r="313" spans="1:5" x14ac:dyDescent="0.2">
      <c r="A313" s="9" t="s">
        <v>175</v>
      </c>
      <c r="B313" s="9">
        <v>1</v>
      </c>
      <c r="C313" s="9" t="s">
        <v>384</v>
      </c>
      <c r="D313" s="9" t="s">
        <v>304</v>
      </c>
      <c r="E313" s="14">
        <f>_xlfn.IFNA(INDEX(Receitas!C:C,MATCH(A313,Receitas!F:F,0)),"")</f>
        <v>46166</v>
      </c>
    </row>
    <row r="314" spans="1:5" x14ac:dyDescent="0.2">
      <c r="A314" s="9" t="s">
        <v>175</v>
      </c>
      <c r="B314" s="9">
        <v>0.5</v>
      </c>
      <c r="C314" s="9" t="s">
        <v>237</v>
      </c>
      <c r="D314" s="9" t="s">
        <v>107</v>
      </c>
      <c r="E314" s="14">
        <f>_xlfn.IFNA(INDEX(Receitas!C:C,MATCH(A314,Receitas!F:F,0)),"")</f>
        <v>46166</v>
      </c>
    </row>
    <row r="315" spans="1:5" x14ac:dyDescent="0.2">
      <c r="A315" s="9" t="s">
        <v>175</v>
      </c>
      <c r="B315" s="9">
        <v>1</v>
      </c>
      <c r="C315" s="9" t="s">
        <v>237</v>
      </c>
      <c r="D315" s="9" t="s">
        <v>94</v>
      </c>
      <c r="E315" s="14">
        <f>_xlfn.IFNA(INDEX(Receitas!C:C,MATCH(A315,Receitas!F:F,0)),"")</f>
        <v>46166</v>
      </c>
    </row>
    <row r="316" spans="1:5" x14ac:dyDescent="0.2">
      <c r="A316" s="9" t="s">
        <v>175</v>
      </c>
      <c r="B316" s="9">
        <v>1</v>
      </c>
      <c r="C316" s="9" t="s">
        <v>237</v>
      </c>
      <c r="D316" s="9" t="s">
        <v>62</v>
      </c>
      <c r="E316" s="14">
        <f>_xlfn.IFNA(INDEX(Receitas!C:C,MATCH(A316,Receitas!F:F,0)),"")</f>
        <v>46166</v>
      </c>
    </row>
    <row r="317" spans="1:5" x14ac:dyDescent="0.2">
      <c r="A317" s="9" t="s">
        <v>175</v>
      </c>
      <c r="B317" s="9">
        <v>10</v>
      </c>
      <c r="C317" s="9" t="s">
        <v>244</v>
      </c>
      <c r="D317" s="9" t="s">
        <v>85</v>
      </c>
      <c r="E317" s="14">
        <f>_xlfn.IFNA(INDEX(Receitas!C:C,MATCH(A317,Receitas!F:F,0)),"")</f>
        <v>46166</v>
      </c>
    </row>
    <row r="318" spans="1:5" x14ac:dyDescent="0.2">
      <c r="A318" s="9" t="s">
        <v>175</v>
      </c>
      <c r="B318" s="9">
        <v>1</v>
      </c>
      <c r="C318" s="9" t="s">
        <v>383</v>
      </c>
      <c r="D318" s="9" t="s">
        <v>344</v>
      </c>
      <c r="E318" s="14">
        <f>_xlfn.IFNA(INDEX(Receitas!C:C,MATCH(A318,Receitas!F:F,0)),"")</f>
        <v>46166</v>
      </c>
    </row>
    <row r="319" spans="1:5" x14ac:dyDescent="0.2">
      <c r="A319" s="9" t="s">
        <v>175</v>
      </c>
      <c r="B319" s="9">
        <v>1</v>
      </c>
      <c r="C319" s="9" t="s">
        <v>383</v>
      </c>
      <c r="D319" s="9" t="s">
        <v>362</v>
      </c>
      <c r="E319" s="14">
        <f>_xlfn.IFNA(INDEX(Receitas!C:C,MATCH(A319,Receitas!F:F,0)),"")</f>
        <v>46166</v>
      </c>
    </row>
    <row r="320" spans="1:5" x14ac:dyDescent="0.2">
      <c r="A320" s="9" t="s">
        <v>178</v>
      </c>
      <c r="B320" s="9">
        <v>0.5</v>
      </c>
      <c r="C320" s="9" t="s">
        <v>237</v>
      </c>
      <c r="D320" s="9" t="s">
        <v>107</v>
      </c>
      <c r="E320" s="14">
        <f>_xlfn.IFNA(INDEX(Receitas!C:C,MATCH(A320,Receitas!F:F,0)),"")</f>
        <v>46143</v>
      </c>
    </row>
    <row r="321" spans="1:5" x14ac:dyDescent="0.2">
      <c r="A321" s="9" t="s">
        <v>178</v>
      </c>
      <c r="B321" s="9">
        <v>3</v>
      </c>
      <c r="C321" s="9" t="s">
        <v>384</v>
      </c>
      <c r="D321" s="9" t="s">
        <v>54</v>
      </c>
      <c r="E321" s="14">
        <f>_xlfn.IFNA(INDEX(Receitas!C:C,MATCH(A321,Receitas!F:F,0)),"")</f>
        <v>46143</v>
      </c>
    </row>
    <row r="322" spans="1:5" x14ac:dyDescent="0.2">
      <c r="A322" s="9" t="s">
        <v>178</v>
      </c>
      <c r="B322" s="9">
        <v>1</v>
      </c>
      <c r="C322" s="9" t="s">
        <v>384</v>
      </c>
      <c r="D322" s="9" t="s">
        <v>365</v>
      </c>
      <c r="E322" s="14">
        <f>_xlfn.IFNA(INDEX(Receitas!C:C,MATCH(A322,Receitas!F:F,0)),"")</f>
        <v>46143</v>
      </c>
    </row>
    <row r="323" spans="1:5" x14ac:dyDescent="0.2">
      <c r="A323" s="9" t="s">
        <v>200</v>
      </c>
      <c r="B323" s="9">
        <v>4</v>
      </c>
      <c r="C323" s="9" t="s">
        <v>237</v>
      </c>
      <c r="D323" s="9" t="s">
        <v>68</v>
      </c>
      <c r="E323" s="14">
        <f>_xlfn.IFNA(INDEX(Receitas!C:C,MATCH(A323,Receitas!F:F,0)),"")</f>
        <v>46141</v>
      </c>
    </row>
    <row r="324" spans="1:5" x14ac:dyDescent="0.2">
      <c r="A324" s="9" t="s">
        <v>200</v>
      </c>
      <c r="B324" s="9">
        <v>30</v>
      </c>
      <c r="C324" s="9" t="s">
        <v>244</v>
      </c>
      <c r="D324" s="9" t="s">
        <v>58</v>
      </c>
      <c r="E324" s="14">
        <f>_xlfn.IFNA(INDEX(Receitas!C:C,MATCH(A324,Receitas!F:F,0)),"")</f>
        <v>46141</v>
      </c>
    </row>
    <row r="325" spans="1:5" x14ac:dyDescent="0.2">
      <c r="A325" s="9" t="s">
        <v>200</v>
      </c>
      <c r="B325" s="9">
        <v>1</v>
      </c>
      <c r="C325" s="9" t="s">
        <v>237</v>
      </c>
      <c r="D325" s="9" t="s">
        <v>273</v>
      </c>
      <c r="E325" s="14">
        <f>_xlfn.IFNA(INDEX(Receitas!C:C,MATCH(A325,Receitas!F:F,0)),"")</f>
        <v>46141</v>
      </c>
    </row>
    <row r="326" spans="1:5" x14ac:dyDescent="0.2">
      <c r="A326" s="9" t="s">
        <v>200</v>
      </c>
      <c r="B326" s="9">
        <v>1</v>
      </c>
      <c r="C326" s="9" t="s">
        <v>237</v>
      </c>
      <c r="D326" s="9" t="s">
        <v>72</v>
      </c>
      <c r="E326" s="14">
        <f>_xlfn.IFNA(INDEX(Receitas!C:C,MATCH(A326,Receitas!F:F,0)),"")</f>
        <v>46141</v>
      </c>
    </row>
    <row r="327" spans="1:5" x14ac:dyDescent="0.2">
      <c r="A327" s="9" t="s">
        <v>200</v>
      </c>
      <c r="B327" s="9">
        <v>1</v>
      </c>
      <c r="C327" s="9" t="s">
        <v>383</v>
      </c>
      <c r="D327" s="9" t="s">
        <v>298</v>
      </c>
      <c r="E327" s="14">
        <f>_xlfn.IFNA(INDEX(Receitas!C:C,MATCH(A327,Receitas!F:F,0)),"")</f>
        <v>46141</v>
      </c>
    </row>
    <row r="328" spans="1:5" x14ac:dyDescent="0.2">
      <c r="A328" s="9" t="s">
        <v>200</v>
      </c>
      <c r="B328" s="9">
        <v>120</v>
      </c>
      <c r="C328" s="9" t="s">
        <v>235</v>
      </c>
      <c r="D328" s="9" t="s">
        <v>300</v>
      </c>
      <c r="E328" s="14">
        <f>_xlfn.IFNA(INDEX(Receitas!C:C,MATCH(A328,Receitas!F:F,0)),"")</f>
        <v>46141</v>
      </c>
    </row>
    <row r="329" spans="1:5" x14ac:dyDescent="0.2">
      <c r="A329" s="9" t="s">
        <v>200</v>
      </c>
      <c r="B329" s="9">
        <v>1</v>
      </c>
      <c r="C329" s="9" t="s">
        <v>384</v>
      </c>
      <c r="D329" s="9" t="s">
        <v>54</v>
      </c>
      <c r="E329" s="14">
        <f>_xlfn.IFNA(INDEX(Receitas!C:C,MATCH(A329,Receitas!F:F,0)),"")</f>
        <v>46141</v>
      </c>
    </row>
    <row r="330" spans="1:5" x14ac:dyDescent="0.2">
      <c r="A330" s="9" t="s">
        <v>200</v>
      </c>
      <c r="B330" s="9">
        <v>3</v>
      </c>
      <c r="C330" s="9" t="s">
        <v>237</v>
      </c>
      <c r="D330" s="9" t="s">
        <v>335</v>
      </c>
      <c r="E330" s="14">
        <f>_xlfn.IFNA(INDEX(Receitas!C:C,MATCH(A330,Receitas!F:F,0)),"")</f>
        <v>46141</v>
      </c>
    </row>
    <row r="331" spans="1:5" x14ac:dyDescent="0.2">
      <c r="A331" s="9" t="s">
        <v>200</v>
      </c>
      <c r="B331" s="9">
        <v>1</v>
      </c>
      <c r="C331" s="9" t="s">
        <v>383</v>
      </c>
      <c r="D331" s="9" t="s">
        <v>342</v>
      </c>
      <c r="E331" s="14">
        <f>_xlfn.IFNA(INDEX(Receitas!C:C,MATCH(A331,Receitas!F:F,0)),"")</f>
        <v>46141</v>
      </c>
    </row>
    <row r="332" spans="1:5" x14ac:dyDescent="0.2">
      <c r="A332" s="9" t="s">
        <v>200</v>
      </c>
      <c r="B332" s="9">
        <v>1</v>
      </c>
      <c r="C332" s="9" t="s">
        <v>383</v>
      </c>
      <c r="D332" s="9" t="s">
        <v>345</v>
      </c>
      <c r="E332" s="14">
        <f>_xlfn.IFNA(INDEX(Receitas!C:C,MATCH(A332,Receitas!F:F,0)),"")</f>
        <v>46141</v>
      </c>
    </row>
    <row r="333" spans="1:5" x14ac:dyDescent="0.2">
      <c r="A333" s="9" t="s">
        <v>200</v>
      </c>
      <c r="B333" s="9">
        <v>1</v>
      </c>
      <c r="C333" s="9" t="s">
        <v>237</v>
      </c>
      <c r="D333" s="9" t="s">
        <v>98</v>
      </c>
      <c r="E333" s="14">
        <f>_xlfn.IFNA(INDEX(Receitas!C:C,MATCH(A333,Receitas!F:F,0)),"")</f>
        <v>46141</v>
      </c>
    </row>
    <row r="334" spans="1:5" x14ac:dyDescent="0.2">
      <c r="A334" s="9" t="s">
        <v>200</v>
      </c>
      <c r="B334" s="9">
        <v>50</v>
      </c>
      <c r="C334" s="9" t="s">
        <v>235</v>
      </c>
      <c r="D334" s="9" t="s">
        <v>358</v>
      </c>
      <c r="E334" s="14">
        <f>_xlfn.IFNA(INDEX(Receitas!C:C,MATCH(A334,Receitas!F:F,0)),"")</f>
        <v>46141</v>
      </c>
    </row>
    <row r="335" spans="1:5" x14ac:dyDescent="0.2">
      <c r="A335" s="9" t="s">
        <v>200</v>
      </c>
      <c r="B335" s="9">
        <v>1</v>
      </c>
      <c r="C335" s="9" t="s">
        <v>383</v>
      </c>
      <c r="D335" s="9" t="s">
        <v>362</v>
      </c>
      <c r="E335" s="14">
        <f>_xlfn.IFNA(INDEX(Receitas!C:C,MATCH(A335,Receitas!F:F,0)),"")</f>
        <v>46141</v>
      </c>
    </row>
    <row r="336" spans="1:5" x14ac:dyDescent="0.2">
      <c r="A336" s="9" t="s">
        <v>200</v>
      </c>
      <c r="B336" s="9">
        <v>0.5</v>
      </c>
      <c r="C336" s="9" t="s">
        <v>384</v>
      </c>
      <c r="D336" s="9" t="s">
        <v>371</v>
      </c>
      <c r="E336" s="14">
        <f>_xlfn.IFNA(INDEX(Receitas!C:C,MATCH(A336,Receitas!F:F,0)),"")</f>
        <v>46141</v>
      </c>
    </row>
    <row r="337" spans="1:5" x14ac:dyDescent="0.2">
      <c r="A337" s="9" t="s">
        <v>213</v>
      </c>
      <c r="B337" s="9">
        <v>30</v>
      </c>
      <c r="C337" s="9" t="s">
        <v>244</v>
      </c>
      <c r="D337" s="9" t="s">
        <v>58</v>
      </c>
      <c r="E337" s="14">
        <f>_xlfn.IFNA(INDEX(Receitas!C:C,MATCH(A337,Receitas!F:F,0)),"")</f>
        <v>46172</v>
      </c>
    </row>
    <row r="338" spans="1:5" x14ac:dyDescent="0.2">
      <c r="A338" s="9" t="s">
        <v>213</v>
      </c>
      <c r="B338" s="9">
        <v>500</v>
      </c>
      <c r="C338" s="9" t="s">
        <v>235</v>
      </c>
      <c r="D338" s="9" t="s">
        <v>37</v>
      </c>
      <c r="E338" s="14">
        <f>_xlfn.IFNA(INDEX(Receitas!C:C,MATCH(A338,Receitas!F:F,0)),"")</f>
        <v>46172</v>
      </c>
    </row>
    <row r="339" spans="1:5" x14ac:dyDescent="0.2">
      <c r="A339" s="9" t="s">
        <v>213</v>
      </c>
      <c r="B339" s="9">
        <v>2</v>
      </c>
      <c r="C339" s="9" t="s">
        <v>237</v>
      </c>
      <c r="D339" s="9" t="s">
        <v>72</v>
      </c>
      <c r="E339" s="14">
        <f>_xlfn.IFNA(INDEX(Receitas!C:C,MATCH(A339,Receitas!F:F,0)),"")</f>
        <v>46172</v>
      </c>
    </row>
    <row r="340" spans="1:5" x14ac:dyDescent="0.2">
      <c r="A340" s="9" t="s">
        <v>213</v>
      </c>
      <c r="B340" s="9">
        <v>2</v>
      </c>
      <c r="C340" s="9" t="s">
        <v>237</v>
      </c>
      <c r="D340" s="9" t="s">
        <v>278</v>
      </c>
      <c r="E340" s="14">
        <f>_xlfn.IFNA(INDEX(Receitas!C:C,MATCH(A340,Receitas!F:F,0)),"")</f>
        <v>46172</v>
      </c>
    </row>
    <row r="341" spans="1:5" x14ac:dyDescent="0.2">
      <c r="A341" s="9" t="s">
        <v>213</v>
      </c>
      <c r="B341" s="9">
        <v>250</v>
      </c>
      <c r="C341" s="9" t="s">
        <v>235</v>
      </c>
      <c r="D341" s="9" t="s">
        <v>121</v>
      </c>
      <c r="E341" s="14">
        <f>_xlfn.IFNA(INDEX(Receitas!C:C,MATCH(A341,Receitas!F:F,0)),"")</f>
        <v>46172</v>
      </c>
    </row>
    <row r="342" spans="1:5" x14ac:dyDescent="0.2">
      <c r="A342" s="9" t="s">
        <v>213</v>
      </c>
      <c r="B342" s="9">
        <v>1</v>
      </c>
      <c r="C342" s="9" t="s">
        <v>237</v>
      </c>
      <c r="D342" s="9" t="s">
        <v>94</v>
      </c>
      <c r="E342" s="14">
        <f>_xlfn.IFNA(INDEX(Receitas!C:C,MATCH(A342,Receitas!F:F,0)),"")</f>
        <v>46172</v>
      </c>
    </row>
    <row r="343" spans="1:5" x14ac:dyDescent="0.2">
      <c r="A343" s="9" t="s">
        <v>213</v>
      </c>
      <c r="B343" s="9">
        <v>10</v>
      </c>
      <c r="C343" s="9" t="s">
        <v>244</v>
      </c>
      <c r="D343" s="9" t="s">
        <v>127</v>
      </c>
      <c r="E343" s="14">
        <f>_xlfn.IFNA(INDEX(Receitas!C:C,MATCH(A343,Receitas!F:F,0)),"")</f>
        <v>46172</v>
      </c>
    </row>
    <row r="344" spans="1:5" x14ac:dyDescent="0.2">
      <c r="A344" s="9" t="s">
        <v>213</v>
      </c>
      <c r="B344" s="9">
        <v>1</v>
      </c>
      <c r="C344" s="9" t="s">
        <v>384</v>
      </c>
      <c r="D344" s="9" t="s">
        <v>54</v>
      </c>
      <c r="E344" s="14">
        <f>_xlfn.IFNA(INDEX(Receitas!C:C,MATCH(A344,Receitas!F:F,0)),"")</f>
        <v>46172</v>
      </c>
    </row>
    <row r="345" spans="1:5" x14ac:dyDescent="0.2">
      <c r="A345" s="9" t="s">
        <v>213</v>
      </c>
      <c r="B345" s="9">
        <v>2</v>
      </c>
      <c r="C345" s="9" t="s">
        <v>237</v>
      </c>
      <c r="D345" s="9" t="s">
        <v>20</v>
      </c>
      <c r="E345" s="14">
        <f>_xlfn.IFNA(INDEX(Receitas!C:C,MATCH(A345,Receitas!F:F,0)),"")</f>
        <v>46172</v>
      </c>
    </row>
    <row r="346" spans="1:5" x14ac:dyDescent="0.2">
      <c r="A346" s="9" t="s">
        <v>213</v>
      </c>
      <c r="B346" s="9">
        <v>1</v>
      </c>
      <c r="C346" s="9" t="s">
        <v>383</v>
      </c>
      <c r="D346" s="9" t="s">
        <v>343</v>
      </c>
      <c r="E346" s="14">
        <f>_xlfn.IFNA(INDEX(Receitas!C:C,MATCH(A346,Receitas!F:F,0)),"")</f>
        <v>46172</v>
      </c>
    </row>
    <row r="347" spans="1:5" x14ac:dyDescent="0.2">
      <c r="A347" s="9" t="s">
        <v>213</v>
      </c>
      <c r="B347" s="9">
        <v>50</v>
      </c>
      <c r="C347" s="9" t="s">
        <v>235</v>
      </c>
      <c r="D347" s="9" t="s">
        <v>358</v>
      </c>
      <c r="E347" s="14">
        <f>_xlfn.IFNA(INDEX(Receitas!C:C,MATCH(A347,Receitas!F:F,0)),"")</f>
        <v>46172</v>
      </c>
    </row>
    <row r="348" spans="1:5" x14ac:dyDescent="0.2">
      <c r="A348" s="9" t="s">
        <v>213</v>
      </c>
      <c r="B348" s="9">
        <v>1</v>
      </c>
      <c r="C348" s="9" t="s">
        <v>383</v>
      </c>
      <c r="D348" s="9" t="s">
        <v>362</v>
      </c>
      <c r="E348" s="14">
        <f>_xlfn.IFNA(INDEX(Receitas!C:C,MATCH(A348,Receitas!F:F,0)),"")</f>
        <v>46172</v>
      </c>
    </row>
    <row r="349" spans="1:5" x14ac:dyDescent="0.2">
      <c r="A349" s="9" t="s">
        <v>213</v>
      </c>
      <c r="B349" s="9">
        <v>300</v>
      </c>
      <c r="C349" s="9" t="s">
        <v>235</v>
      </c>
      <c r="D349" s="9" t="s">
        <v>131</v>
      </c>
      <c r="E349" s="14">
        <f>_xlfn.IFNA(INDEX(Receitas!C:C,MATCH(A349,Receitas!F:F,0)),"")</f>
        <v>46172</v>
      </c>
    </row>
    <row r="350" spans="1:5" x14ac:dyDescent="0.2">
      <c r="A350" s="9" t="s">
        <v>213</v>
      </c>
      <c r="B350" s="9">
        <v>10</v>
      </c>
      <c r="C350" s="9" t="s">
        <v>235</v>
      </c>
      <c r="D350" s="9" t="s">
        <v>363</v>
      </c>
      <c r="E350" s="14">
        <f>_xlfn.IFNA(INDEX(Receitas!C:C,MATCH(A350,Receitas!F:F,0)),"")</f>
        <v>46172</v>
      </c>
    </row>
    <row r="351" spans="1:5" x14ac:dyDescent="0.2">
      <c r="A351" s="9" t="s">
        <v>183</v>
      </c>
      <c r="B351" s="9">
        <v>1</v>
      </c>
      <c r="C351" s="9" t="s">
        <v>237</v>
      </c>
      <c r="D351" s="9" t="s">
        <v>271</v>
      </c>
      <c r="E351" s="14">
        <f>_xlfn.IFNA(INDEX(Receitas!C:C,MATCH(A351,Receitas!F:F,0)),"")</f>
        <v>46162</v>
      </c>
    </row>
    <row r="352" spans="1:5" x14ac:dyDescent="0.2">
      <c r="A352" s="9" t="s">
        <v>183</v>
      </c>
      <c r="B352" s="9">
        <v>100</v>
      </c>
      <c r="C352" s="9" t="s">
        <v>235</v>
      </c>
      <c r="D352" s="9" t="s">
        <v>143</v>
      </c>
      <c r="E352" s="14">
        <f>_xlfn.IFNA(INDEX(Receitas!C:C,MATCH(A352,Receitas!F:F,0)),"")</f>
        <v>46162</v>
      </c>
    </row>
    <row r="353" spans="1:5" x14ac:dyDescent="0.2">
      <c r="A353" s="9" t="s">
        <v>183</v>
      </c>
      <c r="B353" s="9">
        <v>6</v>
      </c>
      <c r="C353" s="9" t="s">
        <v>237</v>
      </c>
      <c r="D353" s="9" t="s">
        <v>310</v>
      </c>
      <c r="E353" s="14">
        <f>_xlfn.IFNA(INDEX(Receitas!C:C,MATCH(A353,Receitas!F:F,0)),"")</f>
        <v>46162</v>
      </c>
    </row>
    <row r="354" spans="1:5" x14ac:dyDescent="0.2">
      <c r="A354" s="9" t="s">
        <v>183</v>
      </c>
      <c r="B354" s="9">
        <v>100</v>
      </c>
      <c r="C354" s="9" t="s">
        <v>235</v>
      </c>
      <c r="D354" s="9" t="s">
        <v>96</v>
      </c>
      <c r="E354" s="14">
        <f>_xlfn.IFNA(INDEX(Receitas!C:C,MATCH(A354,Receitas!F:F,0)),"")</f>
        <v>46162</v>
      </c>
    </row>
    <row r="355" spans="1:5" x14ac:dyDescent="0.2">
      <c r="A355" s="9" t="s">
        <v>183</v>
      </c>
      <c r="B355" s="9">
        <v>2</v>
      </c>
      <c r="C355" s="9" t="s">
        <v>384</v>
      </c>
      <c r="D355" s="9" t="s">
        <v>54</v>
      </c>
      <c r="E355" s="14">
        <f>_xlfn.IFNA(INDEX(Receitas!C:C,MATCH(A355,Receitas!F:F,0)),"")</f>
        <v>46162</v>
      </c>
    </row>
    <row r="356" spans="1:5" x14ac:dyDescent="0.2">
      <c r="A356" s="9" t="s">
        <v>190</v>
      </c>
      <c r="B356" s="9">
        <v>2</v>
      </c>
      <c r="C356" s="9" t="s">
        <v>237</v>
      </c>
      <c r="D356" s="9" t="s">
        <v>68</v>
      </c>
      <c r="E356" s="14">
        <f>_xlfn.IFNA(INDEX(Receitas!C:C,MATCH(A356,Receitas!F:F,0)),"")</f>
        <v>46148</v>
      </c>
    </row>
    <row r="357" spans="1:5" x14ac:dyDescent="0.2">
      <c r="A357" s="9" t="s">
        <v>190</v>
      </c>
      <c r="B357" s="9">
        <v>50</v>
      </c>
      <c r="C357" s="9" t="s">
        <v>244</v>
      </c>
      <c r="D357" s="9" t="s">
        <v>58</v>
      </c>
      <c r="E357" s="14">
        <f>_xlfn.IFNA(INDEX(Receitas!C:C,MATCH(A357,Receitas!F:F,0)),"")</f>
        <v>46148</v>
      </c>
    </row>
    <row r="358" spans="1:5" x14ac:dyDescent="0.2">
      <c r="A358" s="9" t="s">
        <v>190</v>
      </c>
      <c r="B358" s="9">
        <v>600</v>
      </c>
      <c r="C358" s="9" t="s">
        <v>235</v>
      </c>
      <c r="D358" s="9" t="s">
        <v>274</v>
      </c>
      <c r="E358" s="14">
        <f>_xlfn.IFNA(INDEX(Receitas!C:C,MATCH(A358,Receitas!F:F,0)),"")</f>
        <v>46148</v>
      </c>
    </row>
    <row r="359" spans="1:5" x14ac:dyDescent="0.2">
      <c r="A359" s="9" t="s">
        <v>190</v>
      </c>
      <c r="B359" s="9">
        <v>1</v>
      </c>
      <c r="C359" s="9" t="s">
        <v>237</v>
      </c>
      <c r="D359" s="9" t="s">
        <v>72</v>
      </c>
      <c r="E359" s="14">
        <f>_xlfn.IFNA(INDEX(Receitas!C:C,MATCH(A359,Receitas!F:F,0)),"")</f>
        <v>46148</v>
      </c>
    </row>
    <row r="360" spans="1:5" x14ac:dyDescent="0.2">
      <c r="A360" s="9" t="s">
        <v>190</v>
      </c>
      <c r="B360" s="9">
        <v>0.3</v>
      </c>
      <c r="C360" s="9" t="s">
        <v>237</v>
      </c>
      <c r="D360" s="9" t="s">
        <v>283</v>
      </c>
      <c r="E360" s="14">
        <f>_xlfn.IFNA(INDEX(Receitas!C:C,MATCH(A360,Receitas!F:F,0)),"")</f>
        <v>46148</v>
      </c>
    </row>
    <row r="361" spans="1:5" x14ac:dyDescent="0.2">
      <c r="A361" s="9" t="s">
        <v>190</v>
      </c>
      <c r="B361" s="9">
        <v>10</v>
      </c>
      <c r="C361" s="9" t="s">
        <v>235</v>
      </c>
      <c r="D361" s="9" t="s">
        <v>363</v>
      </c>
      <c r="E361" s="14">
        <f>_xlfn.IFNA(INDEX(Receitas!C:C,MATCH(A361,Receitas!F:F,0)),"")</f>
        <v>46148</v>
      </c>
    </row>
    <row r="362" spans="1:5" x14ac:dyDescent="0.2">
      <c r="A362" s="9" t="s">
        <v>190</v>
      </c>
      <c r="B362" s="9">
        <v>450</v>
      </c>
      <c r="C362" s="9" t="s">
        <v>235</v>
      </c>
      <c r="D362" s="9" t="s">
        <v>373</v>
      </c>
      <c r="E362" s="14">
        <f>_xlfn.IFNA(INDEX(Receitas!C:C,MATCH(A362,Receitas!F:F,0)),"")</f>
        <v>46148</v>
      </c>
    </row>
    <row r="363" spans="1:5" x14ac:dyDescent="0.2">
      <c r="A363" s="9" t="s">
        <v>208</v>
      </c>
      <c r="B363" s="9">
        <v>30</v>
      </c>
      <c r="C363" s="9" t="s">
        <v>244</v>
      </c>
      <c r="D363" s="9" t="s">
        <v>58</v>
      </c>
      <c r="E363" s="14">
        <f>_xlfn.IFNA(INDEX(Receitas!C:C,MATCH(A363,Receitas!F:F,0)),"")</f>
        <v>46151</v>
      </c>
    </row>
    <row r="364" spans="1:5" x14ac:dyDescent="0.2">
      <c r="A364" s="9" t="s">
        <v>208</v>
      </c>
      <c r="B364" s="9">
        <v>1</v>
      </c>
      <c r="C364" s="9" t="s">
        <v>237</v>
      </c>
      <c r="D364" s="9" t="s">
        <v>72</v>
      </c>
      <c r="E364" s="14">
        <f>_xlfn.IFNA(INDEX(Receitas!C:C,MATCH(A364,Receitas!F:F,0)),"")</f>
        <v>46151</v>
      </c>
    </row>
    <row r="365" spans="1:5" x14ac:dyDescent="0.2">
      <c r="A365" s="9" t="s">
        <v>208</v>
      </c>
      <c r="B365" s="9">
        <v>1</v>
      </c>
      <c r="C365" s="9" t="s">
        <v>237</v>
      </c>
      <c r="D365" s="9" t="s">
        <v>278</v>
      </c>
      <c r="E365" s="14">
        <f>_xlfn.IFNA(INDEX(Receitas!C:C,MATCH(A365,Receitas!F:F,0)),"")</f>
        <v>46151</v>
      </c>
    </row>
    <row r="366" spans="1:5" x14ac:dyDescent="0.2">
      <c r="A366" s="9" t="s">
        <v>208</v>
      </c>
      <c r="B366" s="9">
        <v>63</v>
      </c>
      <c r="C366" s="9" t="s">
        <v>235</v>
      </c>
      <c r="D366" s="9" t="s">
        <v>301</v>
      </c>
      <c r="E366" s="14">
        <f>_xlfn.IFNA(INDEX(Receitas!C:C,MATCH(A366,Receitas!F:F,0)),"")</f>
        <v>46151</v>
      </c>
    </row>
    <row r="367" spans="1:5" x14ac:dyDescent="0.2">
      <c r="A367" s="9" t="s">
        <v>208</v>
      </c>
      <c r="B367" s="9">
        <v>1</v>
      </c>
      <c r="C367" s="9" t="s">
        <v>383</v>
      </c>
      <c r="D367" s="9" t="s">
        <v>93</v>
      </c>
      <c r="E367" s="14">
        <f>_xlfn.IFNA(INDEX(Receitas!C:C,MATCH(A367,Receitas!F:F,0)),"")</f>
        <v>46151</v>
      </c>
    </row>
    <row r="368" spans="1:5" x14ac:dyDescent="0.2">
      <c r="A368" s="9" t="s">
        <v>208</v>
      </c>
      <c r="B368" s="9">
        <v>1</v>
      </c>
      <c r="C368" s="9" t="s">
        <v>237</v>
      </c>
      <c r="D368" s="9" t="s">
        <v>94</v>
      </c>
      <c r="E368" s="14">
        <f>_xlfn.IFNA(INDEX(Receitas!C:C,MATCH(A368,Receitas!F:F,0)),"")</f>
        <v>46151</v>
      </c>
    </row>
    <row r="369" spans="1:5" x14ac:dyDescent="0.2">
      <c r="A369" s="9" t="s">
        <v>208</v>
      </c>
      <c r="B369" s="9">
        <v>400</v>
      </c>
      <c r="C369" s="9" t="s">
        <v>235</v>
      </c>
      <c r="D369" s="9" t="s">
        <v>108</v>
      </c>
      <c r="E369" s="14">
        <f>_xlfn.IFNA(INDEX(Receitas!C:C,MATCH(A369,Receitas!F:F,0)),"")</f>
        <v>46151</v>
      </c>
    </row>
    <row r="370" spans="1:5" x14ac:dyDescent="0.2">
      <c r="A370" s="9" t="s">
        <v>208</v>
      </c>
      <c r="B370" s="9">
        <v>10</v>
      </c>
      <c r="C370" s="9" t="s">
        <v>244</v>
      </c>
      <c r="D370" s="9" t="s">
        <v>127</v>
      </c>
      <c r="E370" s="14">
        <f>_xlfn.IFNA(INDEX(Receitas!C:C,MATCH(A370,Receitas!F:F,0)),"")</f>
        <v>46151</v>
      </c>
    </row>
    <row r="371" spans="1:5" x14ac:dyDescent="0.2">
      <c r="A371" s="9" t="s">
        <v>208</v>
      </c>
      <c r="B371" s="9">
        <v>1</v>
      </c>
      <c r="C371" s="9" t="s">
        <v>383</v>
      </c>
      <c r="D371" s="9" t="s">
        <v>362</v>
      </c>
      <c r="E371" s="14">
        <f>_xlfn.IFNA(INDEX(Receitas!C:C,MATCH(A371,Receitas!F:F,0)),"")</f>
        <v>46151</v>
      </c>
    </row>
    <row r="372" spans="1:5" x14ac:dyDescent="0.2">
      <c r="A372" s="9" t="s">
        <v>208</v>
      </c>
      <c r="B372" s="9">
        <v>10</v>
      </c>
      <c r="C372" s="9" t="s">
        <v>235</v>
      </c>
      <c r="D372" s="9" t="s">
        <v>363</v>
      </c>
      <c r="E372" s="14">
        <f>_xlfn.IFNA(INDEX(Receitas!C:C,MATCH(A372,Receitas!F:F,0)),"")</f>
        <v>46151</v>
      </c>
    </row>
    <row r="373" spans="1:5" x14ac:dyDescent="0.2">
      <c r="A373" s="9" t="s">
        <v>193</v>
      </c>
      <c r="B373" s="9">
        <v>1</v>
      </c>
      <c r="C373" s="9" t="s">
        <v>383</v>
      </c>
      <c r="D373" s="9" t="s">
        <v>288</v>
      </c>
      <c r="E373" s="14">
        <f>_xlfn.IFNA(INDEX(Receitas!C:C,MATCH(A373,Receitas!F:F,0)),"")</f>
        <v>46133</v>
      </c>
    </row>
    <row r="374" spans="1:5" x14ac:dyDescent="0.2">
      <c r="A374" s="9" t="s">
        <v>193</v>
      </c>
      <c r="B374" s="9">
        <v>60</v>
      </c>
      <c r="C374" s="9" t="s">
        <v>235</v>
      </c>
      <c r="D374" s="9" t="s">
        <v>301</v>
      </c>
      <c r="E374" s="14">
        <f>_xlfn.IFNA(INDEX(Receitas!C:C,MATCH(A374,Receitas!F:F,0)),"")</f>
        <v>46133</v>
      </c>
    </row>
    <row r="375" spans="1:5" x14ac:dyDescent="0.2">
      <c r="A375" s="9" t="s">
        <v>193</v>
      </c>
      <c r="B375" s="9">
        <v>1</v>
      </c>
      <c r="C375" s="9" t="s">
        <v>384</v>
      </c>
      <c r="D375" s="9" t="s">
        <v>144</v>
      </c>
      <c r="E375" s="14">
        <f>_xlfn.IFNA(INDEX(Receitas!C:C,MATCH(A375,Receitas!F:F,0)),"")</f>
        <v>46133</v>
      </c>
    </row>
    <row r="376" spans="1:5" x14ac:dyDescent="0.2">
      <c r="A376" s="9" t="s">
        <v>193</v>
      </c>
      <c r="B376" s="9">
        <v>800</v>
      </c>
      <c r="C376" s="9" t="s">
        <v>244</v>
      </c>
      <c r="D376" s="9" t="s">
        <v>93</v>
      </c>
      <c r="E376" s="14">
        <f>_xlfn.IFNA(INDEX(Receitas!C:C,MATCH(A376,Receitas!F:F,0)),"")</f>
        <v>46133</v>
      </c>
    </row>
    <row r="377" spans="1:5" x14ac:dyDescent="0.2">
      <c r="A377" s="9" t="s">
        <v>193</v>
      </c>
      <c r="B377" s="9">
        <v>125</v>
      </c>
      <c r="C377" s="9" t="s">
        <v>235</v>
      </c>
      <c r="D377" s="9" t="s">
        <v>96</v>
      </c>
      <c r="E377" s="14">
        <f>_xlfn.IFNA(INDEX(Receitas!C:C,MATCH(A377,Receitas!F:F,0)),"")</f>
        <v>46133</v>
      </c>
    </row>
    <row r="378" spans="1:5" x14ac:dyDescent="0.2">
      <c r="A378" s="9" t="s">
        <v>193</v>
      </c>
      <c r="B378" s="9">
        <v>450</v>
      </c>
      <c r="C378" s="9" t="s">
        <v>235</v>
      </c>
      <c r="D378" s="9" t="s">
        <v>81</v>
      </c>
      <c r="E378" s="14">
        <f>_xlfn.IFNA(INDEX(Receitas!C:C,MATCH(A378,Receitas!F:F,0)),"")</f>
        <v>46133</v>
      </c>
    </row>
    <row r="379" spans="1:5" x14ac:dyDescent="0.2">
      <c r="A379" s="9" t="s">
        <v>193</v>
      </c>
      <c r="B379" s="9">
        <v>200</v>
      </c>
      <c r="C379" s="9" t="s">
        <v>244</v>
      </c>
      <c r="D379" s="9" t="s">
        <v>54</v>
      </c>
      <c r="E379" s="14">
        <f>_xlfn.IFNA(INDEX(Receitas!C:C,MATCH(A379,Receitas!F:F,0)),"")</f>
        <v>46133</v>
      </c>
    </row>
    <row r="380" spans="1:5" x14ac:dyDescent="0.2">
      <c r="A380" s="9" t="s">
        <v>193</v>
      </c>
      <c r="B380" s="9">
        <v>1</v>
      </c>
      <c r="C380" s="9" t="s">
        <v>383</v>
      </c>
      <c r="D380" s="9" t="s">
        <v>342</v>
      </c>
      <c r="E380" s="14">
        <f>_xlfn.IFNA(INDEX(Receitas!C:C,MATCH(A380,Receitas!F:F,0)),"")</f>
        <v>46133</v>
      </c>
    </row>
    <row r="381" spans="1:5" x14ac:dyDescent="0.2">
      <c r="A381" s="9" t="s">
        <v>193</v>
      </c>
      <c r="B381" s="9">
        <v>350</v>
      </c>
      <c r="C381" s="9" t="s">
        <v>235</v>
      </c>
      <c r="D381" s="9" t="s">
        <v>352</v>
      </c>
      <c r="E381" s="14">
        <f>_xlfn.IFNA(INDEX(Receitas!C:C,MATCH(A381,Receitas!F:F,0)),"")</f>
        <v>46133</v>
      </c>
    </row>
    <row r="382" spans="1:5" x14ac:dyDescent="0.2">
      <c r="A382" s="9" t="s">
        <v>193</v>
      </c>
      <c r="B382" s="9">
        <v>150</v>
      </c>
      <c r="C382" s="9" t="s">
        <v>235</v>
      </c>
      <c r="D382" s="9" t="s">
        <v>355</v>
      </c>
      <c r="E382" s="14">
        <f>_xlfn.IFNA(INDEX(Receitas!C:C,MATCH(A382,Receitas!F:F,0)),"")</f>
        <v>46133</v>
      </c>
    </row>
    <row r="383" spans="1:5" x14ac:dyDescent="0.2">
      <c r="A383" s="9" t="s">
        <v>193</v>
      </c>
      <c r="B383" s="9">
        <v>1</v>
      </c>
      <c r="C383" s="9" t="s">
        <v>383</v>
      </c>
      <c r="D383" s="9" t="s">
        <v>362</v>
      </c>
      <c r="E383" s="14">
        <f>_xlfn.IFNA(INDEX(Receitas!C:C,MATCH(A383,Receitas!F:F,0)),"")</f>
        <v>46133</v>
      </c>
    </row>
    <row r="384" spans="1:5" x14ac:dyDescent="0.2">
      <c r="A384" s="9" t="s">
        <v>388</v>
      </c>
      <c r="B384" s="9">
        <v>4</v>
      </c>
      <c r="C384" s="9" t="s">
        <v>384</v>
      </c>
      <c r="D384" s="9" t="s">
        <v>78</v>
      </c>
      <c r="E384" s="14" t="str">
        <f>_xlfn.IFNA(INDEX(Receitas!C:C,MATCH(A384,Receitas!F:F,0)),"")</f>
        <v/>
      </c>
    </row>
    <row r="385" spans="1:5" x14ac:dyDescent="0.2">
      <c r="A385" s="9" t="s">
        <v>388</v>
      </c>
      <c r="B385" s="9">
        <v>1</v>
      </c>
      <c r="C385" s="9" t="s">
        <v>384</v>
      </c>
      <c r="D385" s="9" t="s">
        <v>317</v>
      </c>
      <c r="E385" s="14" t="str">
        <f>_xlfn.IFNA(INDEX(Receitas!C:C,MATCH(A385,Receitas!F:F,0)),"")</f>
        <v/>
      </c>
    </row>
    <row r="386" spans="1:5" x14ac:dyDescent="0.2">
      <c r="A386" s="9" t="s">
        <v>388</v>
      </c>
      <c r="B386" s="9">
        <v>1</v>
      </c>
      <c r="C386" s="9" t="s">
        <v>237</v>
      </c>
      <c r="E386" s="14" t="str">
        <f>_xlfn.IFNA(INDEX(Receitas!C:C,MATCH(A386,Receitas!F:F,0)),"")</f>
        <v/>
      </c>
    </row>
    <row r="387" spans="1:5" x14ac:dyDescent="0.2">
      <c r="A387" s="9" t="s">
        <v>169</v>
      </c>
      <c r="B387" s="9">
        <v>10</v>
      </c>
      <c r="C387" s="9" t="s">
        <v>235</v>
      </c>
      <c r="D387" s="9" t="s">
        <v>100</v>
      </c>
      <c r="E387" s="14" t="str">
        <f>_xlfn.IFNA(INDEX(Receitas!C:C,MATCH(A387,Receitas!F:F,0)),"")</f>
        <v/>
      </c>
    </row>
    <row r="388" spans="1:5" x14ac:dyDescent="0.2">
      <c r="A388" s="9" t="s">
        <v>169</v>
      </c>
      <c r="B388" s="9">
        <v>30</v>
      </c>
      <c r="C388" s="9" t="s">
        <v>244</v>
      </c>
      <c r="D388" s="9" t="s">
        <v>58</v>
      </c>
      <c r="E388" s="14" t="str">
        <f>_xlfn.IFNA(INDEX(Receitas!C:C,MATCH(A388,Receitas!F:F,0)),"")</f>
        <v/>
      </c>
    </row>
    <row r="389" spans="1:5" x14ac:dyDescent="0.2">
      <c r="A389" s="9" t="s">
        <v>169</v>
      </c>
      <c r="B389" s="9">
        <v>800</v>
      </c>
      <c r="C389" s="9" t="s">
        <v>235</v>
      </c>
      <c r="D389" s="9" t="s">
        <v>102</v>
      </c>
      <c r="E389" s="14" t="str">
        <f>_xlfn.IFNA(INDEX(Receitas!C:C,MATCH(A389,Receitas!F:F,0)),"")</f>
        <v/>
      </c>
    </row>
    <row r="390" spans="1:5" x14ac:dyDescent="0.2">
      <c r="A390" s="9" t="s">
        <v>169</v>
      </c>
      <c r="B390" s="9">
        <v>100</v>
      </c>
      <c r="C390" s="9" t="s">
        <v>235</v>
      </c>
      <c r="D390" s="9" t="s">
        <v>103</v>
      </c>
      <c r="E390" s="14" t="str">
        <f>_xlfn.IFNA(INDEX(Receitas!C:C,MATCH(A390,Receitas!F:F,0)),"")</f>
        <v/>
      </c>
    </row>
    <row r="391" spans="1:5" x14ac:dyDescent="0.2">
      <c r="A391" s="9" t="s">
        <v>169</v>
      </c>
      <c r="B391" s="9">
        <v>1</v>
      </c>
      <c r="C391" s="9" t="s">
        <v>384</v>
      </c>
      <c r="D391" s="9" t="s">
        <v>317</v>
      </c>
      <c r="E391" s="14" t="str">
        <f>_xlfn.IFNA(INDEX(Receitas!C:C,MATCH(A391,Receitas!F:F,0)),"")</f>
        <v/>
      </c>
    </row>
    <row r="392" spans="1:5" x14ac:dyDescent="0.2">
      <c r="A392" s="9" t="s">
        <v>169</v>
      </c>
      <c r="B392" s="9">
        <v>200</v>
      </c>
      <c r="C392" s="9" t="s">
        <v>244</v>
      </c>
      <c r="D392" s="9" t="s">
        <v>56</v>
      </c>
      <c r="E392" s="14" t="str">
        <f>_xlfn.IFNA(INDEX(Receitas!C:C,MATCH(A392,Receitas!F:F,0)),"")</f>
        <v/>
      </c>
    </row>
    <row r="393" spans="1:5" x14ac:dyDescent="0.2">
      <c r="A393" s="9" t="s">
        <v>169</v>
      </c>
      <c r="B393" s="9">
        <v>100</v>
      </c>
      <c r="C393" s="9" t="s">
        <v>235</v>
      </c>
      <c r="D393" s="9" t="s">
        <v>356</v>
      </c>
      <c r="E393" s="14" t="str">
        <f>_xlfn.IFNA(INDEX(Receitas!C:C,MATCH(A393,Receitas!F:F,0)),"")</f>
        <v/>
      </c>
    </row>
    <row r="394" spans="1:5" x14ac:dyDescent="0.2">
      <c r="A394" s="9" t="s">
        <v>170</v>
      </c>
      <c r="B394" s="9">
        <v>10</v>
      </c>
      <c r="C394" s="9" t="s">
        <v>235</v>
      </c>
      <c r="D394" s="9" t="s">
        <v>100</v>
      </c>
      <c r="E394" s="14">
        <f>_xlfn.IFNA(INDEX(Receitas!C:C,MATCH(A394,Receitas!F:F,0)),"")</f>
        <v>46160</v>
      </c>
    </row>
    <row r="395" spans="1:5" x14ac:dyDescent="0.2">
      <c r="A395" s="9" t="s">
        <v>170</v>
      </c>
      <c r="B395" s="9">
        <v>30</v>
      </c>
      <c r="C395" s="9" t="s">
        <v>244</v>
      </c>
      <c r="D395" s="9" t="s">
        <v>58</v>
      </c>
      <c r="E395" s="14">
        <f>_xlfn.IFNA(INDEX(Receitas!C:C,MATCH(A395,Receitas!F:F,0)),"")</f>
        <v>46160</v>
      </c>
    </row>
    <row r="396" spans="1:5" x14ac:dyDescent="0.2">
      <c r="A396" s="9" t="s">
        <v>170</v>
      </c>
      <c r="B396" s="9">
        <v>100</v>
      </c>
      <c r="C396" s="9" t="s">
        <v>235</v>
      </c>
      <c r="D396" s="9" t="s">
        <v>103</v>
      </c>
      <c r="E396" s="14">
        <f>_xlfn.IFNA(INDEX(Receitas!C:C,MATCH(A396,Receitas!F:F,0)),"")</f>
        <v>46160</v>
      </c>
    </row>
    <row r="397" spans="1:5" x14ac:dyDescent="0.2">
      <c r="A397" s="9" t="s">
        <v>170</v>
      </c>
      <c r="B397" s="9">
        <v>10</v>
      </c>
      <c r="C397" s="9" t="s">
        <v>235</v>
      </c>
      <c r="D397" s="9" t="s">
        <v>88</v>
      </c>
      <c r="E397" s="14">
        <f>_xlfn.IFNA(INDEX(Receitas!C:C,MATCH(A397,Receitas!F:F,0)),"")</f>
        <v>46160</v>
      </c>
    </row>
    <row r="398" spans="1:5" x14ac:dyDescent="0.2">
      <c r="A398" s="9" t="s">
        <v>170</v>
      </c>
      <c r="B398" s="9">
        <v>1</v>
      </c>
      <c r="C398" s="9" t="s">
        <v>384</v>
      </c>
      <c r="D398" s="9" t="s">
        <v>81</v>
      </c>
      <c r="E398" s="14">
        <f>_xlfn.IFNA(INDEX(Receitas!C:C,MATCH(A398,Receitas!F:F,0)),"")</f>
        <v>46160</v>
      </c>
    </row>
    <row r="399" spans="1:5" x14ac:dyDescent="0.2">
      <c r="A399" s="9" t="s">
        <v>170</v>
      </c>
      <c r="B399" s="9">
        <v>400</v>
      </c>
      <c r="C399" s="9" t="s">
        <v>235</v>
      </c>
      <c r="D399" s="9" t="s">
        <v>108</v>
      </c>
      <c r="E399" s="14">
        <f>_xlfn.IFNA(INDEX(Receitas!C:C,MATCH(A399,Receitas!F:F,0)),"")</f>
        <v>46160</v>
      </c>
    </row>
    <row r="400" spans="1:5" x14ac:dyDescent="0.2">
      <c r="A400" s="9" t="s">
        <v>170</v>
      </c>
      <c r="B400" s="9">
        <v>100</v>
      </c>
      <c r="C400" s="9" t="s">
        <v>235</v>
      </c>
      <c r="D400" s="9" t="s">
        <v>109</v>
      </c>
      <c r="E400" s="14">
        <f>_xlfn.IFNA(INDEX(Receitas!C:C,MATCH(A400,Receitas!F:F,0)),"")</f>
        <v>46160</v>
      </c>
    </row>
    <row r="401" spans="1:5" x14ac:dyDescent="0.2">
      <c r="A401" s="9" t="s">
        <v>170</v>
      </c>
      <c r="B401" s="9">
        <v>100</v>
      </c>
      <c r="C401" s="9" t="s">
        <v>244</v>
      </c>
      <c r="D401" s="9" t="s">
        <v>56</v>
      </c>
      <c r="E401" s="14">
        <f>_xlfn.IFNA(INDEX(Receitas!C:C,MATCH(A401,Receitas!F:F,0)),"")</f>
        <v>46160</v>
      </c>
    </row>
    <row r="402" spans="1:5" x14ac:dyDescent="0.2">
      <c r="A402" s="9" t="s">
        <v>389</v>
      </c>
      <c r="B402" s="9">
        <v>1</v>
      </c>
      <c r="C402" s="9" t="s">
        <v>237</v>
      </c>
      <c r="D402" s="9" t="s">
        <v>68</v>
      </c>
      <c r="E402" s="14" t="str">
        <f>_xlfn.IFNA(INDEX(Receitas!C:C,MATCH(A402,Receitas!F:F,0)),"")</f>
        <v/>
      </c>
    </row>
    <row r="403" spans="1:5" x14ac:dyDescent="0.2">
      <c r="A403" s="9" t="s">
        <v>389</v>
      </c>
      <c r="B403" s="9">
        <v>30</v>
      </c>
      <c r="C403" s="9" t="s">
        <v>244</v>
      </c>
      <c r="D403" s="9" t="s">
        <v>58</v>
      </c>
      <c r="E403" s="14" t="str">
        <f>_xlfn.IFNA(INDEX(Receitas!C:C,MATCH(A403,Receitas!F:F,0)),"")</f>
        <v/>
      </c>
    </row>
    <row r="404" spans="1:5" x14ac:dyDescent="0.2">
      <c r="A404" s="9" t="s">
        <v>389</v>
      </c>
      <c r="B404" s="9">
        <v>1</v>
      </c>
      <c r="C404" s="9" t="s">
        <v>237</v>
      </c>
      <c r="D404" s="9" t="s">
        <v>72</v>
      </c>
      <c r="E404" s="14" t="str">
        <f>_xlfn.IFNA(INDEX(Receitas!C:C,MATCH(A404,Receitas!F:F,0)),"")</f>
        <v/>
      </c>
    </row>
    <row r="405" spans="1:5" x14ac:dyDescent="0.2">
      <c r="A405" s="9" t="s">
        <v>389</v>
      </c>
      <c r="B405" s="9">
        <v>1</v>
      </c>
      <c r="C405" s="9" t="s">
        <v>237</v>
      </c>
      <c r="D405" s="9" t="s">
        <v>278</v>
      </c>
      <c r="E405" s="14" t="str">
        <f>_xlfn.IFNA(INDEX(Receitas!C:C,MATCH(A405,Receitas!F:F,0)),"")</f>
        <v/>
      </c>
    </row>
    <row r="406" spans="1:5" x14ac:dyDescent="0.2">
      <c r="A406" s="9" t="s">
        <v>389</v>
      </c>
      <c r="B406" s="9">
        <v>1</v>
      </c>
      <c r="C406" s="9" t="s">
        <v>383</v>
      </c>
      <c r="D406" s="9" t="s">
        <v>330</v>
      </c>
      <c r="E406" s="14" t="str">
        <f>_xlfn.IFNA(INDEX(Receitas!C:C,MATCH(A406,Receitas!F:F,0)),"")</f>
        <v/>
      </c>
    </row>
    <row r="407" spans="1:5" x14ac:dyDescent="0.2">
      <c r="A407" s="9" t="s">
        <v>389</v>
      </c>
      <c r="B407" s="9">
        <v>1</v>
      </c>
      <c r="C407" s="9" t="s">
        <v>383</v>
      </c>
      <c r="D407" s="9" t="s">
        <v>344</v>
      </c>
      <c r="E407" s="14" t="str">
        <f>_xlfn.IFNA(INDEX(Receitas!C:C,MATCH(A407,Receitas!F:F,0)),"")</f>
        <v/>
      </c>
    </row>
    <row r="408" spans="1:5" x14ac:dyDescent="0.2">
      <c r="A408" s="9" t="s">
        <v>389</v>
      </c>
      <c r="B408" s="9">
        <v>1</v>
      </c>
      <c r="C408" s="9" t="s">
        <v>383</v>
      </c>
      <c r="D408" s="9" t="s">
        <v>362</v>
      </c>
      <c r="E408" s="14" t="str">
        <f>_xlfn.IFNA(INDEX(Receitas!C:C,MATCH(A408,Receitas!F:F,0)),"")</f>
        <v/>
      </c>
    </row>
    <row r="409" spans="1:5" x14ac:dyDescent="0.2">
      <c r="A409" s="9" t="s">
        <v>389</v>
      </c>
      <c r="B409" s="9">
        <v>1</v>
      </c>
      <c r="C409" s="9" t="s">
        <v>384</v>
      </c>
      <c r="D409" s="9" t="s">
        <v>57</v>
      </c>
      <c r="E409" s="14" t="str">
        <f>_xlfn.IFNA(INDEX(Receitas!C:C,MATCH(A409,Receitas!F:F,0)),"")</f>
        <v/>
      </c>
    </row>
    <row r="410" spans="1:5" x14ac:dyDescent="0.2">
      <c r="A410" s="9" t="s">
        <v>176</v>
      </c>
      <c r="B410" s="9">
        <v>2</v>
      </c>
      <c r="C410" s="9" t="s">
        <v>237</v>
      </c>
      <c r="D410" s="9" t="s">
        <v>68</v>
      </c>
      <c r="E410" s="14">
        <f>_xlfn.IFNA(INDEX(Receitas!C:C,MATCH(A410,Receitas!F:F,0)),"")</f>
        <v>46131</v>
      </c>
    </row>
    <row r="411" spans="1:5" x14ac:dyDescent="0.2">
      <c r="A411" s="9" t="s">
        <v>176</v>
      </c>
      <c r="B411" s="9">
        <v>50</v>
      </c>
      <c r="C411" s="9" t="s">
        <v>235</v>
      </c>
      <c r="D411" s="9" t="s">
        <v>60</v>
      </c>
      <c r="E411" s="14">
        <f>_xlfn.IFNA(INDEX(Receitas!C:C,MATCH(A411,Receitas!F:F,0)),"")</f>
        <v>46131</v>
      </c>
    </row>
    <row r="412" spans="1:5" x14ac:dyDescent="0.2">
      <c r="A412" s="9" t="s">
        <v>176</v>
      </c>
      <c r="B412" s="9">
        <v>3</v>
      </c>
      <c r="C412" s="9" t="s">
        <v>237</v>
      </c>
      <c r="D412" s="9" t="s">
        <v>335</v>
      </c>
      <c r="E412" s="14">
        <f>_xlfn.IFNA(INDEX(Receitas!C:C,MATCH(A412,Receitas!F:F,0)),"")</f>
        <v>46131</v>
      </c>
    </row>
    <row r="413" spans="1:5" x14ac:dyDescent="0.2">
      <c r="A413" s="9" t="s">
        <v>176</v>
      </c>
      <c r="B413" s="9">
        <v>50</v>
      </c>
      <c r="C413" s="9" t="s">
        <v>235</v>
      </c>
      <c r="D413" s="9" t="s">
        <v>338</v>
      </c>
      <c r="E413" s="14">
        <f>_xlfn.IFNA(INDEX(Receitas!C:C,MATCH(A413,Receitas!F:F,0)),"")</f>
        <v>46131</v>
      </c>
    </row>
    <row r="414" spans="1:5" x14ac:dyDescent="0.2">
      <c r="A414" s="9" t="s">
        <v>176</v>
      </c>
      <c r="B414" s="9">
        <v>1</v>
      </c>
      <c r="C414" s="9" t="s">
        <v>383</v>
      </c>
      <c r="D414" s="9" t="s">
        <v>343</v>
      </c>
      <c r="E414" s="14">
        <f>_xlfn.IFNA(INDEX(Receitas!C:C,MATCH(A414,Receitas!F:F,0)),"")</f>
        <v>46131</v>
      </c>
    </row>
    <row r="415" spans="1:5" x14ac:dyDescent="0.2">
      <c r="A415" s="9" t="s">
        <v>176</v>
      </c>
      <c r="B415" s="9">
        <v>100</v>
      </c>
      <c r="C415" s="9" t="s">
        <v>235</v>
      </c>
      <c r="D415" s="9" t="s">
        <v>356</v>
      </c>
      <c r="E415" s="14">
        <f>_xlfn.IFNA(INDEX(Receitas!C:C,MATCH(A415,Receitas!F:F,0)),"")</f>
        <v>46131</v>
      </c>
    </row>
    <row r="416" spans="1:5" x14ac:dyDescent="0.2">
      <c r="A416" s="9" t="s">
        <v>176</v>
      </c>
      <c r="B416" s="9">
        <v>1</v>
      </c>
      <c r="C416" s="9" t="s">
        <v>383</v>
      </c>
      <c r="D416" s="9" t="s">
        <v>362</v>
      </c>
      <c r="E416" s="14">
        <f>_xlfn.IFNA(INDEX(Receitas!C:C,MATCH(A416,Receitas!F:F,0)),"")</f>
        <v>46131</v>
      </c>
    </row>
    <row r="417" spans="1:5" x14ac:dyDescent="0.2">
      <c r="A417" s="9" t="s">
        <v>176</v>
      </c>
      <c r="B417" s="9">
        <v>1</v>
      </c>
      <c r="C417" s="9" t="s">
        <v>383</v>
      </c>
      <c r="D417" s="9" t="s">
        <v>298</v>
      </c>
      <c r="E417" s="14">
        <f>_xlfn.IFNA(INDEX(Receitas!C:C,MATCH(A417,Receitas!F:F,0)),"")</f>
        <v>46131</v>
      </c>
    </row>
    <row r="418" spans="1:5" x14ac:dyDescent="0.2">
      <c r="A418" s="9" t="s">
        <v>185</v>
      </c>
      <c r="B418" s="9">
        <v>2</v>
      </c>
      <c r="C418" s="9" t="s">
        <v>237</v>
      </c>
      <c r="D418" s="9" t="s">
        <v>68</v>
      </c>
      <c r="E418" s="14">
        <f>_xlfn.IFNA(INDEX(Receitas!C:C,MATCH(A418,Receitas!F:F,0)),"")</f>
        <v>46171</v>
      </c>
    </row>
    <row r="419" spans="1:5" x14ac:dyDescent="0.2">
      <c r="A419" s="9" t="s">
        <v>185</v>
      </c>
      <c r="B419" s="9">
        <v>30</v>
      </c>
      <c r="C419" s="9" t="s">
        <v>244</v>
      </c>
      <c r="D419" s="9" t="s">
        <v>58</v>
      </c>
      <c r="E419" s="14">
        <f>_xlfn.IFNA(INDEX(Receitas!C:C,MATCH(A419,Receitas!F:F,0)),"")</f>
        <v>46171</v>
      </c>
    </row>
    <row r="420" spans="1:5" x14ac:dyDescent="0.2">
      <c r="A420" s="9" t="s">
        <v>185</v>
      </c>
      <c r="B420" s="9">
        <v>1</v>
      </c>
      <c r="C420" s="9" t="s">
        <v>384</v>
      </c>
      <c r="D420" s="9" t="s">
        <v>120</v>
      </c>
      <c r="E420" s="14">
        <f>_xlfn.IFNA(INDEX(Receitas!C:C,MATCH(A420,Receitas!F:F,0)),"")</f>
        <v>46171</v>
      </c>
    </row>
    <row r="421" spans="1:5" x14ac:dyDescent="0.2">
      <c r="A421" s="9" t="s">
        <v>185</v>
      </c>
      <c r="B421" s="9">
        <v>1</v>
      </c>
      <c r="C421" s="9" t="s">
        <v>237</v>
      </c>
      <c r="D421" s="9" t="s">
        <v>72</v>
      </c>
      <c r="E421" s="14">
        <f>_xlfn.IFNA(INDEX(Receitas!C:C,MATCH(A421,Receitas!F:F,0)),"")</f>
        <v>46171</v>
      </c>
    </row>
    <row r="422" spans="1:5" x14ac:dyDescent="0.2">
      <c r="A422" s="9" t="s">
        <v>185</v>
      </c>
      <c r="B422" s="9">
        <v>1</v>
      </c>
      <c r="C422" s="9" t="s">
        <v>237</v>
      </c>
      <c r="D422" s="9" t="s">
        <v>336</v>
      </c>
      <c r="E422" s="14">
        <f>_xlfn.IFNA(INDEX(Receitas!C:C,MATCH(A422,Receitas!F:F,0)),"")</f>
        <v>46171</v>
      </c>
    </row>
    <row r="423" spans="1:5" x14ac:dyDescent="0.2">
      <c r="A423" s="9" t="s">
        <v>185</v>
      </c>
      <c r="B423" s="9">
        <v>1</v>
      </c>
      <c r="C423" s="9" t="s">
        <v>383</v>
      </c>
      <c r="D423" s="9" t="s">
        <v>343</v>
      </c>
      <c r="E423" s="14">
        <f>_xlfn.IFNA(INDEX(Receitas!C:C,MATCH(A423,Receitas!F:F,0)),"")</f>
        <v>46171</v>
      </c>
    </row>
    <row r="424" spans="1:5" x14ac:dyDescent="0.2">
      <c r="A424" s="9" t="s">
        <v>185</v>
      </c>
      <c r="B424" s="9">
        <v>1</v>
      </c>
      <c r="C424" s="9" t="s">
        <v>237</v>
      </c>
      <c r="D424" s="9" t="s">
        <v>98</v>
      </c>
      <c r="E424" s="14">
        <f>_xlfn.IFNA(INDEX(Receitas!C:C,MATCH(A424,Receitas!F:F,0)),"")</f>
        <v>46171</v>
      </c>
    </row>
    <row r="425" spans="1:5" x14ac:dyDescent="0.2">
      <c r="A425" s="9" t="s">
        <v>185</v>
      </c>
      <c r="B425" s="9">
        <v>1</v>
      </c>
      <c r="C425" s="9" t="s">
        <v>383</v>
      </c>
      <c r="D425" s="9" t="s">
        <v>362</v>
      </c>
      <c r="E425" s="14">
        <f>_xlfn.IFNA(INDEX(Receitas!C:C,MATCH(A425,Receitas!F:F,0)),"")</f>
        <v>46171</v>
      </c>
    </row>
    <row r="426" spans="1:5" x14ac:dyDescent="0.2">
      <c r="A426" s="9" t="s">
        <v>185</v>
      </c>
      <c r="B426" s="9">
        <v>10</v>
      </c>
      <c r="C426" s="9" t="s">
        <v>235</v>
      </c>
      <c r="D426" s="9" t="s">
        <v>363</v>
      </c>
      <c r="E426" s="14">
        <f>_xlfn.IFNA(INDEX(Receitas!C:C,MATCH(A426,Receitas!F:F,0)),"")</f>
        <v>46171</v>
      </c>
    </row>
    <row r="427" spans="1:5" x14ac:dyDescent="0.2">
      <c r="A427" s="9" t="s">
        <v>185</v>
      </c>
      <c r="B427" s="9">
        <v>1</v>
      </c>
      <c r="C427" s="9" t="s">
        <v>237</v>
      </c>
      <c r="D427" s="9" t="s">
        <v>147</v>
      </c>
      <c r="E427" s="14">
        <f>_xlfn.IFNA(INDEX(Receitas!C:C,MATCH(A427,Receitas!F:F,0)),"")</f>
        <v>46171</v>
      </c>
    </row>
    <row r="428" spans="1:5" x14ac:dyDescent="0.2">
      <c r="A428" s="9" t="s">
        <v>185</v>
      </c>
      <c r="B428" s="9">
        <v>100</v>
      </c>
      <c r="C428" s="9" t="s">
        <v>244</v>
      </c>
      <c r="D428" s="9" t="s">
        <v>66</v>
      </c>
      <c r="E428" s="14">
        <f>_xlfn.IFNA(INDEX(Receitas!C:C,MATCH(A428,Receitas!F:F,0)),"")</f>
        <v>46171</v>
      </c>
    </row>
    <row r="429" spans="1:5" x14ac:dyDescent="0.2">
      <c r="A429" s="9" t="s">
        <v>195</v>
      </c>
      <c r="B429" s="9">
        <v>1</v>
      </c>
      <c r="C429" s="9" t="s">
        <v>237</v>
      </c>
      <c r="D429" s="9" t="s">
        <v>68</v>
      </c>
      <c r="E429" s="14">
        <f>_xlfn.IFNA(INDEX(Receitas!C:C,MATCH(A429,Receitas!F:F,0)),"")</f>
        <v>46140</v>
      </c>
    </row>
    <row r="430" spans="1:5" x14ac:dyDescent="0.2">
      <c r="A430" s="9" t="s">
        <v>195</v>
      </c>
      <c r="B430" s="9">
        <v>1</v>
      </c>
      <c r="C430" s="9" t="s">
        <v>384</v>
      </c>
      <c r="D430" s="9" t="s">
        <v>120</v>
      </c>
      <c r="E430" s="14">
        <f>_xlfn.IFNA(INDEX(Receitas!C:C,MATCH(A430,Receitas!F:F,0)),"")</f>
        <v>46140</v>
      </c>
    </row>
    <row r="431" spans="1:5" x14ac:dyDescent="0.2">
      <c r="A431" s="9" t="s">
        <v>195</v>
      </c>
      <c r="B431" s="9">
        <v>1</v>
      </c>
      <c r="C431" s="9" t="s">
        <v>237</v>
      </c>
      <c r="D431" s="9" t="s">
        <v>72</v>
      </c>
      <c r="E431" s="14">
        <f>_xlfn.IFNA(INDEX(Receitas!C:C,MATCH(A431,Receitas!F:F,0)),"")</f>
        <v>46140</v>
      </c>
    </row>
    <row r="432" spans="1:5" x14ac:dyDescent="0.2">
      <c r="A432" s="9" t="s">
        <v>195</v>
      </c>
      <c r="B432" s="9">
        <v>1</v>
      </c>
      <c r="C432" s="9" t="s">
        <v>237</v>
      </c>
      <c r="D432" s="9" t="s">
        <v>278</v>
      </c>
      <c r="E432" s="14">
        <f>_xlfn.IFNA(INDEX(Receitas!C:C,MATCH(A432,Receitas!F:F,0)),"")</f>
        <v>46140</v>
      </c>
    </row>
    <row r="433" spans="1:5" x14ac:dyDescent="0.2">
      <c r="A433" s="9" t="s">
        <v>195</v>
      </c>
      <c r="B433" s="9">
        <v>1</v>
      </c>
      <c r="C433" s="9" t="s">
        <v>383</v>
      </c>
      <c r="D433" s="9" t="s">
        <v>83</v>
      </c>
      <c r="E433" s="14">
        <f>_xlfn.IFNA(INDEX(Receitas!C:C,MATCH(A433,Receitas!F:F,0)),"")</f>
        <v>46140</v>
      </c>
    </row>
    <row r="434" spans="1:5" x14ac:dyDescent="0.2">
      <c r="A434" s="9" t="s">
        <v>195</v>
      </c>
      <c r="B434" s="9">
        <v>1</v>
      </c>
      <c r="C434" s="9" t="s">
        <v>384</v>
      </c>
      <c r="D434" s="9" t="s">
        <v>121</v>
      </c>
      <c r="E434" s="14">
        <f>_xlfn.IFNA(INDEX(Receitas!C:C,MATCH(A434,Receitas!F:F,0)),"")</f>
        <v>46140</v>
      </c>
    </row>
    <row r="435" spans="1:5" x14ac:dyDescent="0.2">
      <c r="A435" s="9" t="s">
        <v>195</v>
      </c>
      <c r="B435" s="9">
        <v>4</v>
      </c>
      <c r="C435" s="9" t="s">
        <v>237</v>
      </c>
      <c r="D435" s="9" t="s">
        <v>20</v>
      </c>
      <c r="E435" s="14">
        <f>_xlfn.IFNA(INDEX(Receitas!C:C,MATCH(A435,Receitas!F:F,0)),"")</f>
        <v>46140</v>
      </c>
    </row>
    <row r="436" spans="1:5" x14ac:dyDescent="0.2">
      <c r="A436" s="9" t="s">
        <v>195</v>
      </c>
      <c r="B436" s="9">
        <v>0.5</v>
      </c>
      <c r="C436" s="9" t="s">
        <v>237</v>
      </c>
      <c r="D436" s="9" t="s">
        <v>128</v>
      </c>
      <c r="E436" s="14">
        <f>_xlfn.IFNA(INDEX(Receitas!C:C,MATCH(A436,Receitas!F:F,0)),"")</f>
        <v>46140</v>
      </c>
    </row>
    <row r="437" spans="1:5" x14ac:dyDescent="0.2">
      <c r="A437" s="9" t="s">
        <v>195</v>
      </c>
      <c r="B437" s="9">
        <v>1</v>
      </c>
      <c r="C437" s="9" t="s">
        <v>383</v>
      </c>
      <c r="D437" s="9" t="s">
        <v>343</v>
      </c>
      <c r="E437" s="14">
        <f>_xlfn.IFNA(INDEX(Receitas!C:C,MATCH(A437,Receitas!F:F,0)),"")</f>
        <v>46140</v>
      </c>
    </row>
    <row r="438" spans="1:5" x14ac:dyDescent="0.2">
      <c r="A438" s="9" t="s">
        <v>195</v>
      </c>
      <c r="B438" s="9">
        <v>1</v>
      </c>
      <c r="C438" s="9" t="s">
        <v>383</v>
      </c>
      <c r="D438" s="9" t="s">
        <v>362</v>
      </c>
      <c r="E438" s="14">
        <f>_xlfn.IFNA(INDEX(Receitas!C:C,MATCH(A438,Receitas!F:F,0)),"")</f>
        <v>46140</v>
      </c>
    </row>
    <row r="439" spans="1:5" x14ac:dyDescent="0.2">
      <c r="A439" s="9" t="s">
        <v>184</v>
      </c>
      <c r="B439" s="9">
        <v>10</v>
      </c>
      <c r="C439" s="9" t="s">
        <v>235</v>
      </c>
      <c r="D439" s="9" t="s">
        <v>100</v>
      </c>
      <c r="E439" s="14">
        <f>_xlfn.IFNA(INDEX(Receitas!C:C,MATCH(A439,Receitas!F:F,0)),"")</f>
        <v>46163</v>
      </c>
    </row>
    <row r="440" spans="1:5" x14ac:dyDescent="0.2">
      <c r="A440" s="9" t="s">
        <v>184</v>
      </c>
      <c r="B440" s="9">
        <v>50</v>
      </c>
      <c r="C440" s="9" t="s">
        <v>244</v>
      </c>
      <c r="D440" s="9" t="s">
        <v>58</v>
      </c>
      <c r="E440" s="14">
        <f>_xlfn.IFNA(INDEX(Receitas!C:C,MATCH(A440,Receitas!F:F,0)),"")</f>
        <v>46163</v>
      </c>
    </row>
    <row r="441" spans="1:5" x14ac:dyDescent="0.2">
      <c r="A441" s="9" t="s">
        <v>184</v>
      </c>
      <c r="B441" s="9">
        <v>1</v>
      </c>
      <c r="C441" s="9" t="s">
        <v>237</v>
      </c>
      <c r="D441" s="9" t="s">
        <v>61</v>
      </c>
      <c r="E441" s="14">
        <f>_xlfn.IFNA(INDEX(Receitas!C:C,MATCH(A441,Receitas!F:F,0)),"")</f>
        <v>46163</v>
      </c>
    </row>
    <row r="442" spans="1:5" x14ac:dyDescent="0.2">
      <c r="A442" s="9" t="s">
        <v>184</v>
      </c>
      <c r="B442" s="9">
        <v>100</v>
      </c>
      <c r="C442" s="9" t="s">
        <v>235</v>
      </c>
      <c r="D442" s="9" t="s">
        <v>103</v>
      </c>
      <c r="E442" s="14">
        <f>_xlfn.IFNA(INDEX(Receitas!C:C,MATCH(A442,Receitas!F:F,0)),"")</f>
        <v>46163</v>
      </c>
    </row>
    <row r="443" spans="1:5" x14ac:dyDescent="0.2">
      <c r="A443" s="9" t="s">
        <v>184</v>
      </c>
      <c r="B443" s="9">
        <v>0.3</v>
      </c>
      <c r="C443" s="9" t="s">
        <v>237</v>
      </c>
      <c r="D443" s="9" t="s">
        <v>283</v>
      </c>
      <c r="E443" s="14">
        <f>_xlfn.IFNA(INDEX(Receitas!C:C,MATCH(A443,Receitas!F:F,0)),"")</f>
        <v>46163</v>
      </c>
    </row>
    <row r="444" spans="1:5" x14ac:dyDescent="0.2">
      <c r="A444" s="9" t="s">
        <v>184</v>
      </c>
      <c r="B444" s="9">
        <v>1</v>
      </c>
      <c r="C444" s="9" t="s">
        <v>237</v>
      </c>
      <c r="D444" s="9" t="s">
        <v>289</v>
      </c>
      <c r="E444" s="14">
        <f>_xlfn.IFNA(INDEX(Receitas!C:C,MATCH(A444,Receitas!F:F,0)),"")</f>
        <v>46163</v>
      </c>
    </row>
    <row r="445" spans="1:5" x14ac:dyDescent="0.2">
      <c r="A445" s="9" t="s">
        <v>184</v>
      </c>
      <c r="B445" s="9">
        <v>500</v>
      </c>
      <c r="C445" s="9" t="s">
        <v>235</v>
      </c>
      <c r="D445" s="9" t="s">
        <v>295</v>
      </c>
      <c r="E445" s="14">
        <f>_xlfn.IFNA(INDEX(Receitas!C:C,MATCH(A445,Receitas!F:F,0)),"")</f>
        <v>46163</v>
      </c>
    </row>
    <row r="446" spans="1:5" x14ac:dyDescent="0.2">
      <c r="A446" s="9" t="s">
        <v>184</v>
      </c>
      <c r="B446" s="9">
        <v>1</v>
      </c>
      <c r="C446" s="9" t="s">
        <v>384</v>
      </c>
      <c r="D446" s="9" t="s">
        <v>80</v>
      </c>
      <c r="E446" s="14">
        <f>_xlfn.IFNA(INDEX(Receitas!C:C,MATCH(A446,Receitas!F:F,0)),"")</f>
        <v>46163</v>
      </c>
    </row>
    <row r="447" spans="1:5" x14ac:dyDescent="0.2">
      <c r="A447" s="9" t="s">
        <v>184</v>
      </c>
      <c r="B447" s="9">
        <v>1</v>
      </c>
      <c r="C447" s="9" t="s">
        <v>237</v>
      </c>
      <c r="D447" s="9" t="s">
        <v>62</v>
      </c>
      <c r="E447" s="14">
        <f>_xlfn.IFNA(INDEX(Receitas!C:C,MATCH(A447,Receitas!F:F,0)),"")</f>
        <v>46163</v>
      </c>
    </row>
    <row r="448" spans="1:5" x14ac:dyDescent="0.2">
      <c r="A448" s="9" t="s">
        <v>184</v>
      </c>
      <c r="B448" s="9">
        <v>1</v>
      </c>
      <c r="C448" s="9" t="s">
        <v>384</v>
      </c>
      <c r="D448" s="9" t="s">
        <v>317</v>
      </c>
      <c r="E448" s="14">
        <f>_xlfn.IFNA(INDEX(Receitas!C:C,MATCH(A448,Receitas!F:F,0)),"")</f>
        <v>46163</v>
      </c>
    </row>
    <row r="449" spans="1:5" x14ac:dyDescent="0.2">
      <c r="A449" s="9" t="s">
        <v>184</v>
      </c>
      <c r="B449" s="9">
        <v>1</v>
      </c>
      <c r="C449" s="9" t="s">
        <v>383</v>
      </c>
      <c r="D449" s="9" t="s">
        <v>344</v>
      </c>
      <c r="E449" s="14">
        <f>_xlfn.IFNA(INDEX(Receitas!C:C,MATCH(A449,Receitas!F:F,0)),"")</f>
        <v>46163</v>
      </c>
    </row>
    <row r="450" spans="1:5" x14ac:dyDescent="0.2">
      <c r="A450" s="9" t="s">
        <v>184</v>
      </c>
      <c r="B450" s="9">
        <v>200</v>
      </c>
      <c r="C450" s="9" t="s">
        <v>244</v>
      </c>
      <c r="D450" s="9" t="s">
        <v>56</v>
      </c>
      <c r="E450" s="14">
        <f>_xlfn.IFNA(INDEX(Receitas!C:C,MATCH(A450,Receitas!F:F,0)),"")</f>
        <v>46163</v>
      </c>
    </row>
    <row r="451" spans="1:5" x14ac:dyDescent="0.2">
      <c r="A451" s="9" t="s">
        <v>179</v>
      </c>
      <c r="B451" s="9">
        <v>1</v>
      </c>
      <c r="C451" s="9" t="s">
        <v>383</v>
      </c>
      <c r="D451" s="9" t="s">
        <v>296</v>
      </c>
      <c r="E451" s="14">
        <f>_xlfn.IFNA(INDEX(Receitas!C:C,MATCH(A451,Receitas!F:F,0)),"")</f>
        <v>46136</v>
      </c>
    </row>
    <row r="452" spans="1:5" x14ac:dyDescent="0.2">
      <c r="A452" s="9" t="s">
        <v>179</v>
      </c>
      <c r="B452" s="9">
        <v>1</v>
      </c>
      <c r="C452" s="9" t="s">
        <v>237</v>
      </c>
      <c r="D452" s="9" t="s">
        <v>94</v>
      </c>
      <c r="E452" s="14">
        <f>_xlfn.IFNA(INDEX(Receitas!C:C,MATCH(A452,Receitas!F:F,0)),"")</f>
        <v>46136</v>
      </c>
    </row>
    <row r="453" spans="1:5" x14ac:dyDescent="0.2">
      <c r="A453" s="9" t="s">
        <v>179</v>
      </c>
      <c r="B453" s="9">
        <v>1</v>
      </c>
      <c r="C453" s="9" t="s">
        <v>383</v>
      </c>
      <c r="D453" s="9" t="s">
        <v>342</v>
      </c>
      <c r="E453" s="14">
        <f>_xlfn.IFNA(INDEX(Receitas!C:C,MATCH(A453,Receitas!F:F,0)),"")</f>
        <v>46136</v>
      </c>
    </row>
    <row r="454" spans="1:5" x14ac:dyDescent="0.2">
      <c r="A454" s="9" t="s">
        <v>179</v>
      </c>
      <c r="B454" s="9">
        <v>4</v>
      </c>
      <c r="C454" s="9" t="s">
        <v>237</v>
      </c>
      <c r="D454" s="9" t="s">
        <v>349</v>
      </c>
      <c r="E454" s="14">
        <f>_xlfn.IFNA(INDEX(Receitas!C:C,MATCH(A454,Receitas!F:F,0)),"")</f>
        <v>46136</v>
      </c>
    </row>
    <row r="455" spans="1:5" x14ac:dyDescent="0.2">
      <c r="A455" s="9" t="s">
        <v>179</v>
      </c>
      <c r="B455" s="9">
        <v>1</v>
      </c>
      <c r="C455" s="9" t="s">
        <v>383</v>
      </c>
      <c r="D455" s="9" t="s">
        <v>362</v>
      </c>
      <c r="E455" s="14">
        <f>_xlfn.IFNA(INDEX(Receitas!C:C,MATCH(A455,Receitas!F:F,0)),"")</f>
        <v>46136</v>
      </c>
    </row>
    <row r="456" spans="1:5" x14ac:dyDescent="0.2">
      <c r="A456" s="9" t="s">
        <v>203</v>
      </c>
      <c r="B456" s="9">
        <v>10</v>
      </c>
      <c r="C456" s="9" t="s">
        <v>235</v>
      </c>
      <c r="D456" s="9" t="s">
        <v>100</v>
      </c>
      <c r="E456" s="14">
        <f>_xlfn.IFNA(INDEX(Receitas!C:C,MATCH(A456,Receitas!F:F,0)),"")</f>
        <v>46138</v>
      </c>
    </row>
    <row r="457" spans="1:5" x14ac:dyDescent="0.2">
      <c r="A457" s="9" t="s">
        <v>203</v>
      </c>
      <c r="B457" s="9">
        <v>100</v>
      </c>
      <c r="C457" s="9" t="s">
        <v>244</v>
      </c>
      <c r="D457" s="9" t="s">
        <v>58</v>
      </c>
      <c r="E457" s="14">
        <f>_xlfn.IFNA(INDEX(Receitas!C:C,MATCH(A457,Receitas!F:F,0)),"")</f>
        <v>46138</v>
      </c>
    </row>
    <row r="458" spans="1:5" x14ac:dyDescent="0.2">
      <c r="A458" s="9" t="s">
        <v>203</v>
      </c>
      <c r="B458" s="9">
        <v>100</v>
      </c>
      <c r="C458" s="9" t="s">
        <v>235</v>
      </c>
      <c r="D458" s="9" t="s">
        <v>103</v>
      </c>
      <c r="E458" s="14">
        <f>_xlfn.IFNA(INDEX(Receitas!C:C,MATCH(A458,Receitas!F:F,0)),"")</f>
        <v>46138</v>
      </c>
    </row>
    <row r="459" spans="1:5" x14ac:dyDescent="0.2">
      <c r="A459" s="9" t="s">
        <v>203</v>
      </c>
      <c r="B459" s="9">
        <v>0.3</v>
      </c>
      <c r="C459" s="9" t="s">
        <v>237</v>
      </c>
      <c r="D459" s="9" t="s">
        <v>283</v>
      </c>
      <c r="E459" s="14">
        <f>_xlfn.IFNA(INDEX(Receitas!C:C,MATCH(A459,Receitas!F:F,0)),"")</f>
        <v>46138</v>
      </c>
    </row>
    <row r="460" spans="1:5" x14ac:dyDescent="0.2">
      <c r="A460" s="9" t="s">
        <v>203</v>
      </c>
      <c r="B460" s="9">
        <v>1</v>
      </c>
      <c r="C460" s="9" t="s">
        <v>237</v>
      </c>
      <c r="D460" s="9" t="s">
        <v>289</v>
      </c>
      <c r="E460" s="14">
        <f>_xlfn.IFNA(INDEX(Receitas!C:C,MATCH(A460,Receitas!F:F,0)),"")</f>
        <v>46138</v>
      </c>
    </row>
    <row r="461" spans="1:5" x14ac:dyDescent="0.2">
      <c r="A461" s="9" t="s">
        <v>203</v>
      </c>
      <c r="B461" s="9">
        <v>1</v>
      </c>
      <c r="C461" s="9" t="s">
        <v>237</v>
      </c>
      <c r="D461" s="9" t="s">
        <v>62</v>
      </c>
      <c r="E461" s="14">
        <f>_xlfn.IFNA(INDEX(Receitas!C:C,MATCH(A461,Receitas!F:F,0)),"")</f>
        <v>46138</v>
      </c>
    </row>
    <row r="462" spans="1:5" x14ac:dyDescent="0.2">
      <c r="A462" s="9" t="s">
        <v>203</v>
      </c>
      <c r="B462" s="9">
        <v>12</v>
      </c>
      <c r="C462" s="9" t="s">
        <v>237</v>
      </c>
      <c r="D462" s="9" t="s">
        <v>364</v>
      </c>
      <c r="E462" s="14">
        <f>_xlfn.IFNA(INDEX(Receitas!C:C,MATCH(A462,Receitas!F:F,0)),"")</f>
        <v>46138</v>
      </c>
    </row>
    <row r="463" spans="1:5" x14ac:dyDescent="0.2">
      <c r="A463" s="9" t="s">
        <v>165</v>
      </c>
      <c r="B463" s="9">
        <v>320</v>
      </c>
      <c r="C463" s="9" t="s">
        <v>235</v>
      </c>
      <c r="D463" s="9" t="s">
        <v>323</v>
      </c>
      <c r="E463" s="14" t="str">
        <f>_xlfn.IFNA(INDEX(Receitas!C:C,MATCH(A463,Receitas!F:F,0)),"")</f>
        <v/>
      </c>
    </row>
    <row r="464" spans="1:5" x14ac:dyDescent="0.2">
      <c r="A464" s="9" t="s">
        <v>165</v>
      </c>
      <c r="B464" s="9">
        <v>4</v>
      </c>
      <c r="C464" s="9" t="s">
        <v>237</v>
      </c>
      <c r="D464" s="9" t="s">
        <v>78</v>
      </c>
      <c r="E464" s="14" t="str">
        <f>_xlfn.IFNA(INDEX(Receitas!C:C,MATCH(A464,Receitas!F:F,0)),"")</f>
        <v/>
      </c>
    </row>
    <row r="465" spans="1:5" x14ac:dyDescent="0.2">
      <c r="A465" s="9" t="s">
        <v>165</v>
      </c>
      <c r="B465" s="9">
        <v>80</v>
      </c>
      <c r="C465" s="9" t="s">
        <v>235</v>
      </c>
      <c r="D465" s="9" t="s">
        <v>96</v>
      </c>
      <c r="E465" s="14" t="str">
        <f>_xlfn.IFNA(INDEX(Receitas!C:C,MATCH(A465,Receitas!F:F,0)),"")</f>
        <v/>
      </c>
    </row>
    <row r="466" spans="1:5" x14ac:dyDescent="0.2">
      <c r="A466" s="9" t="s">
        <v>165</v>
      </c>
      <c r="B466" s="9">
        <v>120</v>
      </c>
      <c r="C466" s="9" t="s">
        <v>235</v>
      </c>
      <c r="D466" s="9" t="s">
        <v>103</v>
      </c>
      <c r="E466" s="14" t="str">
        <f>_xlfn.IFNA(INDEX(Receitas!C:C,MATCH(A466,Receitas!F:F,0)),"")</f>
        <v/>
      </c>
    </row>
    <row r="467" spans="1:5" x14ac:dyDescent="0.2">
      <c r="A467" s="9" t="s">
        <v>165</v>
      </c>
      <c r="B467" s="9">
        <v>20</v>
      </c>
      <c r="C467" s="9" t="s">
        <v>235</v>
      </c>
      <c r="D467" s="9" t="s">
        <v>100</v>
      </c>
      <c r="E467" s="14" t="str">
        <f>_xlfn.IFNA(INDEX(Receitas!C:C,MATCH(A467,Receitas!F:F,0)),"")</f>
        <v/>
      </c>
    </row>
    <row r="468" spans="1:5" x14ac:dyDescent="0.2">
      <c r="A468" s="9" t="s">
        <v>165</v>
      </c>
      <c r="B468" s="9">
        <v>1</v>
      </c>
      <c r="C468" s="9" t="s">
        <v>383</v>
      </c>
      <c r="D468" s="9" t="s">
        <v>301</v>
      </c>
      <c r="E468" s="14" t="str">
        <f>_xlfn.IFNA(INDEX(Receitas!C:C,MATCH(A468,Receitas!F:F,0)),"")</f>
        <v/>
      </c>
    </row>
    <row r="469" spans="1:5" x14ac:dyDescent="0.2">
      <c r="A469" s="9" t="s">
        <v>165</v>
      </c>
      <c r="B469" s="9">
        <v>1</v>
      </c>
      <c r="C469" s="9" t="s">
        <v>383</v>
      </c>
      <c r="D469" s="9" t="s">
        <v>56</v>
      </c>
      <c r="E469" s="14" t="str">
        <f>_xlfn.IFNA(INDEX(Receitas!C:C,MATCH(A469,Receitas!F:F,0)),"")</f>
        <v/>
      </c>
    </row>
    <row r="470" spans="1:5" x14ac:dyDescent="0.2">
      <c r="A470" s="9" t="s">
        <v>165</v>
      </c>
      <c r="B470" s="9">
        <v>600</v>
      </c>
      <c r="C470" s="9" t="s">
        <v>244</v>
      </c>
      <c r="D470" s="9" t="s">
        <v>93</v>
      </c>
      <c r="E470" s="14" t="str">
        <f>_xlfn.IFNA(INDEX(Receitas!C:C,MATCH(A470,Receitas!F:F,0)),"")</f>
        <v/>
      </c>
    </row>
    <row r="471" spans="1:5" x14ac:dyDescent="0.2">
      <c r="A471" s="9" t="s">
        <v>165</v>
      </c>
      <c r="B471" s="9">
        <v>100</v>
      </c>
      <c r="C471" s="9" t="s">
        <v>235</v>
      </c>
      <c r="D471" s="9" t="s">
        <v>60</v>
      </c>
      <c r="E471" s="14" t="str">
        <f>_xlfn.IFNA(INDEX(Receitas!C:C,MATCH(A471,Receitas!F:F,0)),"")</f>
        <v/>
      </c>
    </row>
    <row r="472" spans="1:5" x14ac:dyDescent="0.2">
      <c r="A472" s="9" t="s">
        <v>165</v>
      </c>
      <c r="B472" s="9">
        <v>160</v>
      </c>
      <c r="C472" s="9" t="s">
        <v>235</v>
      </c>
      <c r="D472" s="9" t="s">
        <v>356</v>
      </c>
      <c r="E472" s="14" t="str">
        <f>_xlfn.IFNA(INDEX(Receitas!C:C,MATCH(A472,Receitas!F:F,0)),"")</f>
        <v/>
      </c>
    </row>
    <row r="473" spans="1:5" x14ac:dyDescent="0.2">
      <c r="A473" s="9" t="s">
        <v>165</v>
      </c>
      <c r="B473" s="9">
        <v>1</v>
      </c>
      <c r="C473" s="9" t="s">
        <v>383</v>
      </c>
      <c r="D473" s="9" t="s">
        <v>390</v>
      </c>
      <c r="E473" s="14" t="str">
        <f>_xlfn.IFNA(INDEX(Receitas!C:C,MATCH(A473,Receitas!F:F,0)),"")</f>
        <v/>
      </c>
    </row>
    <row r="474" spans="1:5" x14ac:dyDescent="0.2">
      <c r="A474" s="9" t="s">
        <v>165</v>
      </c>
      <c r="B474" s="9">
        <v>2</v>
      </c>
      <c r="C474" s="9" t="s">
        <v>383</v>
      </c>
      <c r="D474" s="9" t="s">
        <v>82</v>
      </c>
      <c r="E474" s="14" t="str">
        <f>_xlfn.IFNA(INDEX(Receitas!C:C,MATCH(A474,Receitas!F:F,0)),"")</f>
        <v/>
      </c>
    </row>
    <row r="475" spans="1:5" x14ac:dyDescent="0.2">
      <c r="A475" s="9" t="s">
        <v>165</v>
      </c>
      <c r="B475" s="9">
        <v>3</v>
      </c>
      <c r="C475" s="9" t="s">
        <v>383</v>
      </c>
      <c r="D475" s="9" t="s">
        <v>391</v>
      </c>
      <c r="E475" s="14" t="str">
        <f>_xlfn.IFNA(INDEX(Receitas!C:C,MATCH(A475,Receitas!F:F,0)),"")</f>
        <v/>
      </c>
    </row>
    <row r="476" spans="1:5" x14ac:dyDescent="0.2">
      <c r="A476" s="9" t="s">
        <v>165</v>
      </c>
      <c r="B476" s="9">
        <v>4</v>
      </c>
      <c r="C476" s="9" t="s">
        <v>383</v>
      </c>
      <c r="D476" s="9" t="s">
        <v>392</v>
      </c>
      <c r="E476" s="14" t="str">
        <f>_xlfn.IFNA(INDEX(Receitas!C:C,MATCH(A476,Receitas!F:F,0)),"")</f>
        <v/>
      </c>
    </row>
    <row r="477" spans="1:5" x14ac:dyDescent="0.2">
      <c r="A477" s="9" t="s">
        <v>189</v>
      </c>
      <c r="B477" s="9">
        <v>4</v>
      </c>
      <c r="C477" s="9" t="s">
        <v>237</v>
      </c>
      <c r="D477" s="9" t="s">
        <v>340</v>
      </c>
      <c r="E477" s="14">
        <f>_xlfn.IFNA(INDEX(Receitas!C:C,MATCH(A477,Receitas!F:F,0)),"")</f>
        <v>46132</v>
      </c>
    </row>
    <row r="478" spans="1:5" x14ac:dyDescent="0.2">
      <c r="A478" s="9" t="s">
        <v>189</v>
      </c>
      <c r="D478" s="9" t="s">
        <v>82</v>
      </c>
      <c r="E478" s="14">
        <f>_xlfn.IFNA(INDEX(Receitas!C:C,MATCH(A478,Receitas!F:F,0)),"")</f>
        <v>46132</v>
      </c>
    </row>
    <row r="479" spans="1:5" x14ac:dyDescent="0.2">
      <c r="A479" s="9" t="s">
        <v>189</v>
      </c>
      <c r="D479" s="9" t="s">
        <v>344</v>
      </c>
      <c r="E479" s="14">
        <f>_xlfn.IFNA(INDEX(Receitas!C:C,MATCH(A479,Receitas!F:F,0)),"")</f>
        <v>46132</v>
      </c>
    </row>
    <row r="480" spans="1:5" x14ac:dyDescent="0.2">
      <c r="A480" s="9" t="s">
        <v>189</v>
      </c>
      <c r="D480" s="9" t="s">
        <v>72</v>
      </c>
      <c r="E480" s="14">
        <f>_xlfn.IFNA(INDEX(Receitas!C:C,MATCH(A480,Receitas!F:F,0)),"")</f>
        <v>46132</v>
      </c>
    </row>
    <row r="481" spans="1:5" x14ac:dyDescent="0.2">
      <c r="A481" s="9" t="s">
        <v>189</v>
      </c>
      <c r="D481" s="9" t="s">
        <v>147</v>
      </c>
      <c r="E481" s="14">
        <f>_xlfn.IFNA(INDEX(Receitas!C:C,MATCH(A481,Receitas!F:F,0)),"")</f>
        <v>46132</v>
      </c>
    </row>
    <row r="482" spans="1:5" x14ac:dyDescent="0.2">
      <c r="A482" s="9" t="s">
        <v>189</v>
      </c>
      <c r="D482" s="9" t="s">
        <v>62</v>
      </c>
      <c r="E482" s="14">
        <f>_xlfn.IFNA(INDEX(Receitas!C:C,MATCH(A482,Receitas!F:F,0)),"")</f>
        <v>46132</v>
      </c>
    </row>
    <row r="483" spans="1:5" x14ac:dyDescent="0.2">
      <c r="A483" s="9" t="s">
        <v>189</v>
      </c>
      <c r="D483" s="9" t="s">
        <v>120</v>
      </c>
      <c r="E483" s="14">
        <f>_xlfn.IFNA(INDEX(Receitas!C:C,MATCH(A483,Receitas!F:F,0)),"")</f>
        <v>46132</v>
      </c>
    </row>
  </sheetData>
  <sortState xmlns:xlrd2="http://schemas.microsoft.com/office/spreadsheetml/2017/richdata2" ref="A2:D462">
    <sortCondition ref="D2:D462"/>
  </sortState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E4A0730-3DA6-4A31-95ED-B4A2853DD401}">
            <xm:f>ISNA(MATCH(A2,Receitas!F:F,0))</xm:f>
            <x14:dxf>
              <font>
                <color rgb="FFC00000"/>
              </font>
            </x14:dxf>
          </x14:cfRule>
          <xm:sqref>A2:A199998</xm:sqref>
        </x14:conditionalFormatting>
        <x14:conditionalFormatting xmlns:xm="http://schemas.microsoft.com/office/excel/2006/main">
          <x14:cfRule type="expression" priority="90" id="{8E4A0730-3DA6-4A31-95ED-B4A2853DD401}">
            <xm:f>ISNA(MATCH(B465,Receitas!F:F,0))</xm:f>
            <x14:dxf>
              <font>
                <color rgb="FFC00000"/>
              </font>
            </x14:dxf>
          </x14:cfRule>
          <xm:sqref>B465:C476 D465 D468:D476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EC06-8DBC-4F59-903A-E88662C3CD68}">
  <sheetPr codeName="Sheet8"/>
  <dimension ref="B1:L23"/>
  <sheetViews>
    <sheetView workbookViewId="0">
      <selection activeCell="I1" sqref="I1:L5"/>
    </sheetView>
  </sheetViews>
  <sheetFormatPr defaultRowHeight="12.75" x14ac:dyDescent="0.2"/>
  <cols>
    <col min="1" max="1" width="12.140625" bestFit="1" customWidth="1"/>
  </cols>
  <sheetData>
    <row r="1" spans="2:12" ht="14.25" x14ac:dyDescent="0.2">
      <c r="B1" s="50" t="s">
        <v>13</v>
      </c>
      <c r="C1" s="51" t="s">
        <v>14</v>
      </c>
      <c r="D1" s="52" t="s">
        <v>15</v>
      </c>
      <c r="E1" s="7" t="s">
        <v>16</v>
      </c>
      <c r="I1" s="56" t="s">
        <v>13</v>
      </c>
      <c r="J1" s="63" t="s">
        <v>14</v>
      </c>
      <c r="K1" s="58" t="s">
        <v>15</v>
      </c>
      <c r="L1" t="s">
        <v>16</v>
      </c>
    </row>
    <row r="2" spans="2:12" ht="14.25" x14ac:dyDescent="0.2">
      <c r="B2" s="50" t="s">
        <v>17</v>
      </c>
      <c r="C2" s="51" t="s">
        <v>22</v>
      </c>
      <c r="D2" s="52" t="s">
        <v>19</v>
      </c>
      <c r="E2" s="7" t="s">
        <v>20</v>
      </c>
      <c r="I2" s="53" t="s">
        <v>17</v>
      </c>
      <c r="J2" s="57" t="s">
        <v>18</v>
      </c>
      <c r="K2" s="59" t="s">
        <v>19</v>
      </c>
      <c r="L2" t="s">
        <v>20</v>
      </c>
    </row>
    <row r="3" spans="2:12" ht="14.25" x14ac:dyDescent="0.2">
      <c r="B3" s="50" t="s">
        <v>21</v>
      </c>
      <c r="C3" s="51" t="s">
        <v>18</v>
      </c>
      <c r="D3" s="52" t="s">
        <v>23</v>
      </c>
      <c r="I3" s="54" t="s">
        <v>21</v>
      </c>
      <c r="J3" s="64" t="s">
        <v>22</v>
      </c>
      <c r="K3" s="60" t="s">
        <v>23</v>
      </c>
      <c r="L3" t="s">
        <v>24</v>
      </c>
    </row>
    <row r="4" spans="2:12" ht="14.25" x14ac:dyDescent="0.2">
      <c r="B4" s="50" t="s">
        <v>25</v>
      </c>
      <c r="C4" s="51" t="s">
        <v>24</v>
      </c>
      <c r="D4" s="52" t="s">
        <v>26</v>
      </c>
      <c r="I4" s="55" t="s">
        <v>25</v>
      </c>
      <c r="K4" s="61" t="s">
        <v>26</v>
      </c>
    </row>
    <row r="5" spans="2:12" ht="14.25" x14ac:dyDescent="0.2">
      <c r="D5" s="52" t="s">
        <v>28</v>
      </c>
      <c r="K5" s="62" t="s">
        <v>28</v>
      </c>
    </row>
    <row r="9" spans="2:12" ht="14.25" x14ac:dyDescent="0.2">
      <c r="B9" s="56" t="s">
        <v>13</v>
      </c>
      <c r="C9" t="s">
        <v>393</v>
      </c>
    </row>
    <row r="10" spans="2:12" ht="14.25" x14ac:dyDescent="0.2">
      <c r="B10" s="53" t="s">
        <v>17</v>
      </c>
      <c r="C10" t="s">
        <v>394</v>
      </c>
    </row>
    <row r="11" spans="2:12" ht="14.25" x14ac:dyDescent="0.2">
      <c r="B11" s="54" t="s">
        <v>21</v>
      </c>
      <c r="C11" t="s">
        <v>395</v>
      </c>
    </row>
    <row r="12" spans="2:12" ht="14.25" x14ac:dyDescent="0.2">
      <c r="B12" s="55" t="s">
        <v>25</v>
      </c>
      <c r="C12" t="s">
        <v>396</v>
      </c>
    </row>
    <row r="13" spans="2:12" ht="14.25" x14ac:dyDescent="0.2">
      <c r="B13" s="65" t="s">
        <v>14</v>
      </c>
      <c r="C13" t="s">
        <v>397</v>
      </c>
    </row>
    <row r="14" spans="2:12" ht="14.25" x14ac:dyDescent="0.2">
      <c r="B14" s="66" t="s">
        <v>18</v>
      </c>
      <c r="C14" t="s">
        <v>398</v>
      </c>
    </row>
    <row r="15" spans="2:12" ht="14.25" x14ac:dyDescent="0.2">
      <c r="B15" s="64" t="s">
        <v>22</v>
      </c>
      <c r="C15" t="s">
        <v>399</v>
      </c>
    </row>
    <row r="16" spans="2:12" ht="14.25" x14ac:dyDescent="0.2">
      <c r="B16" s="58" t="s">
        <v>15</v>
      </c>
      <c r="C16" t="s">
        <v>400</v>
      </c>
    </row>
    <row r="17" spans="2:3" ht="14.25" x14ac:dyDescent="0.2">
      <c r="B17" s="59" t="s">
        <v>19</v>
      </c>
      <c r="C17" t="s">
        <v>401</v>
      </c>
    </row>
    <row r="18" spans="2:3" ht="14.25" x14ac:dyDescent="0.2">
      <c r="B18" s="60" t="s">
        <v>23</v>
      </c>
      <c r="C18" t="s">
        <v>402</v>
      </c>
    </row>
    <row r="19" spans="2:3" ht="14.25" x14ac:dyDescent="0.2">
      <c r="B19" s="61" t="s">
        <v>26</v>
      </c>
      <c r="C19" t="s">
        <v>403</v>
      </c>
    </row>
    <row r="20" spans="2:3" ht="14.25" x14ac:dyDescent="0.2">
      <c r="B20" s="62" t="s">
        <v>28</v>
      </c>
      <c r="C20" t="s">
        <v>404</v>
      </c>
    </row>
    <row r="21" spans="2:3" x14ac:dyDescent="0.2">
      <c r="B21" t="s">
        <v>16</v>
      </c>
    </row>
    <row r="22" spans="2:3" x14ac:dyDescent="0.2">
      <c r="B22" t="s">
        <v>20</v>
      </c>
    </row>
    <row r="23" spans="2:3" x14ac:dyDescent="0.2">
      <c r="B23" t="s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A8A4A-BBF4-43F9-BF9D-9E9D6791382D}">
  <sheetPr codeName="Sheet1"/>
  <dimension ref="B1:H43"/>
  <sheetViews>
    <sheetView workbookViewId="0">
      <selection activeCell="H43" sqref="H43"/>
    </sheetView>
  </sheetViews>
  <sheetFormatPr defaultRowHeight="12.75" x14ac:dyDescent="0.2"/>
  <cols>
    <col min="8" max="8" width="10.140625" style="132" bestFit="1" customWidth="1"/>
  </cols>
  <sheetData>
    <row r="1" spans="2:8" x14ac:dyDescent="0.2">
      <c r="H1" s="132" t="s">
        <v>150</v>
      </c>
    </row>
    <row r="2" spans="2:8" x14ac:dyDescent="0.2">
      <c r="B2" t="s">
        <v>405</v>
      </c>
      <c r="H2" s="132">
        <v>45277</v>
      </c>
    </row>
    <row r="3" spans="2:8" x14ac:dyDescent="0.2">
      <c r="H3" s="132">
        <v>45338</v>
      </c>
    </row>
    <row r="4" spans="2:8" x14ac:dyDescent="0.2">
      <c r="H4" s="132">
        <v>45251</v>
      </c>
    </row>
    <row r="5" spans="2:8" x14ac:dyDescent="0.2">
      <c r="H5" s="132">
        <v>45249</v>
      </c>
    </row>
    <row r="6" spans="2:8" x14ac:dyDescent="0.2">
      <c r="H6" s="132">
        <v>45250</v>
      </c>
    </row>
    <row r="7" spans="2:8" x14ac:dyDescent="0.2">
      <c r="H7" s="132">
        <v>45252</v>
      </c>
    </row>
    <row r="8" spans="2:8" x14ac:dyDescent="0.2">
      <c r="H8" s="132">
        <v>45253</v>
      </c>
    </row>
    <row r="9" spans="2:8" x14ac:dyDescent="0.2">
      <c r="H9" s="132">
        <v>45254</v>
      </c>
    </row>
    <row r="10" spans="2:8" x14ac:dyDescent="0.2">
      <c r="H10" s="132">
        <v>45255</v>
      </c>
    </row>
    <row r="11" spans="2:8" x14ac:dyDescent="0.2">
      <c r="H11" s="132">
        <v>45256</v>
      </c>
    </row>
    <row r="12" spans="2:8" x14ac:dyDescent="0.2">
      <c r="H12" s="132">
        <v>45257</v>
      </c>
    </row>
    <row r="13" spans="2:8" x14ac:dyDescent="0.2">
      <c r="H13" s="132">
        <v>45258</v>
      </c>
    </row>
    <row r="14" spans="2:8" x14ac:dyDescent="0.2">
      <c r="H14" s="132">
        <v>45259</v>
      </c>
    </row>
    <row r="15" spans="2:8" x14ac:dyDescent="0.2">
      <c r="H15" s="132">
        <v>45260</v>
      </c>
    </row>
    <row r="16" spans="2:8" x14ac:dyDescent="0.2">
      <c r="H16" s="132">
        <v>45261</v>
      </c>
    </row>
    <row r="17" spans="8:8" x14ac:dyDescent="0.2">
      <c r="H17" s="132">
        <v>45262</v>
      </c>
    </row>
    <row r="18" spans="8:8" x14ac:dyDescent="0.2">
      <c r="H18" s="132">
        <v>45263</v>
      </c>
    </row>
    <row r="19" spans="8:8" x14ac:dyDescent="0.2">
      <c r="H19" s="132">
        <v>45264</v>
      </c>
    </row>
    <row r="20" spans="8:8" x14ac:dyDescent="0.2">
      <c r="H20" s="132">
        <v>45265</v>
      </c>
    </row>
    <row r="21" spans="8:8" x14ac:dyDescent="0.2">
      <c r="H21" s="132">
        <v>45266</v>
      </c>
    </row>
    <row r="22" spans="8:8" x14ac:dyDescent="0.2">
      <c r="H22" s="132">
        <v>45267</v>
      </c>
    </row>
    <row r="23" spans="8:8" x14ac:dyDescent="0.2">
      <c r="H23" s="132">
        <v>45268</v>
      </c>
    </row>
    <row r="24" spans="8:8" x14ac:dyDescent="0.2">
      <c r="H24" s="132">
        <v>45269</v>
      </c>
    </row>
    <row r="25" spans="8:8" x14ac:dyDescent="0.2">
      <c r="H25" s="132">
        <v>45270</v>
      </c>
    </row>
    <row r="26" spans="8:8" x14ac:dyDescent="0.2">
      <c r="H26" s="132">
        <v>45271</v>
      </c>
    </row>
    <row r="27" spans="8:8" x14ac:dyDescent="0.2">
      <c r="H27" s="132">
        <v>45272</v>
      </c>
    </row>
    <row r="28" spans="8:8" x14ac:dyDescent="0.2">
      <c r="H28" s="132">
        <v>45273</v>
      </c>
    </row>
    <row r="29" spans="8:8" x14ac:dyDescent="0.2">
      <c r="H29" s="132">
        <v>45274</v>
      </c>
    </row>
    <row r="30" spans="8:8" x14ac:dyDescent="0.2">
      <c r="H30" s="132">
        <v>45275</v>
      </c>
    </row>
    <row r="31" spans="8:8" x14ac:dyDescent="0.2">
      <c r="H31" s="132">
        <v>45276</v>
      </c>
    </row>
    <row r="32" spans="8:8" x14ac:dyDescent="0.2">
      <c r="H32" s="132">
        <v>45277</v>
      </c>
    </row>
    <row r="33" spans="8:8" x14ac:dyDescent="0.2">
      <c r="H33" s="132">
        <v>45278</v>
      </c>
    </row>
    <row r="34" spans="8:8" x14ac:dyDescent="0.2">
      <c r="H34" s="132">
        <v>45279</v>
      </c>
    </row>
    <row r="35" spans="8:8" x14ac:dyDescent="0.2">
      <c r="H35" s="132">
        <v>45280</v>
      </c>
    </row>
    <row r="36" spans="8:8" x14ac:dyDescent="0.2">
      <c r="H36" s="132">
        <v>45281</v>
      </c>
    </row>
    <row r="37" spans="8:8" x14ac:dyDescent="0.2">
      <c r="H37" s="132">
        <v>45282</v>
      </c>
    </row>
    <row r="38" spans="8:8" x14ac:dyDescent="0.2">
      <c r="H38" s="132">
        <v>45283</v>
      </c>
    </row>
    <row r="39" spans="8:8" x14ac:dyDescent="0.2">
      <c r="H39" s="132">
        <v>45284</v>
      </c>
    </row>
    <row r="40" spans="8:8" x14ac:dyDescent="0.2">
      <c r="H40" s="132">
        <v>45285</v>
      </c>
    </row>
    <row r="41" spans="8:8" x14ac:dyDescent="0.2">
      <c r="H41" s="132">
        <v>45286</v>
      </c>
    </row>
    <row r="42" spans="8:8" x14ac:dyDescent="0.2">
      <c r="H42" s="132">
        <v>45287</v>
      </c>
    </row>
    <row r="43" spans="8:8" x14ac:dyDescent="0.2">
      <c r="H43" s="132">
        <v>45288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E5DA-56F5-4D25-86CE-E8A920ECD2BB}">
  <sheetPr codeName="wsCompras1">
    <tabColor rgb="FF0070C0"/>
  </sheetPr>
  <dimension ref="A1:I116"/>
  <sheetViews>
    <sheetView showGridLines="0" zoomScaleNormal="100" workbookViewId="0">
      <selection activeCell="C3" sqref="C3"/>
    </sheetView>
  </sheetViews>
  <sheetFormatPr defaultColWidth="9.28515625" defaultRowHeight="21" customHeight="1" x14ac:dyDescent="0.2"/>
  <cols>
    <col min="1" max="2" width="2.7109375" style="70" customWidth="1"/>
    <col min="3" max="3" width="5.5703125" style="67" customWidth="1"/>
    <col min="4" max="4" width="25.140625" style="68" customWidth="1"/>
    <col min="5" max="5" width="50.42578125" style="69" customWidth="1"/>
    <col min="6" max="6" width="11.42578125" style="97" customWidth="1"/>
    <col min="7" max="10" width="9.28515625" style="69"/>
    <col min="11" max="12" width="12.42578125" style="69" customWidth="1"/>
    <col min="13" max="16384" width="9.28515625" style="69"/>
  </cols>
  <sheetData>
    <row r="1" spans="1:9" s="11" customFormat="1" ht="9" customHeight="1" x14ac:dyDescent="0.2">
      <c r="A1" s="43"/>
      <c r="B1" s="43"/>
      <c r="C1" s="44"/>
      <c r="D1" s="45"/>
      <c r="F1" s="95"/>
    </row>
    <row r="2" spans="1:9" s="11" customFormat="1" ht="21" customHeight="1" thickBot="1" x14ac:dyDescent="0.25">
      <c r="A2" s="7"/>
      <c r="B2" s="43"/>
      <c r="C2" s="47"/>
      <c r="D2" s="48" t="s">
        <v>406</v>
      </c>
      <c r="E2" s="49"/>
      <c r="F2" s="95"/>
      <c r="G2" s="89" t="s">
        <v>407</v>
      </c>
    </row>
    <row r="3" spans="1:9" s="9" customFormat="1" ht="21" customHeight="1" thickTop="1" x14ac:dyDescent="0.2">
      <c r="A3" s="70"/>
      <c r="B3" s="70"/>
      <c r="C3" s="92"/>
      <c r="D3" s="94"/>
      <c r="E3" s="93" t="str">
        <f>IF($G$2="OnLine",_xlfn.XLOOKUP(D3, tIngredientes[Mantimento], tIngredientes[Categoria - OnLine],""),_xlfn.XLOOKUP(D3, tIngredientes[Mantimento], tIngredientes[Categoria - Siga],""))</f>
        <v/>
      </c>
      <c r="F3" s="96" t="str" cm="1">
        <f t="array" ref="F3">IF(OR(E3=E2,E3="", E3=0),"",HYPERLINK("https://www.continente.pt/"&amp;SUBSTITUTE(SUBSTITUTE(SUBSTITUTE(StripAccent(E2),",","")," - ","/")," ","-")&amp;"/","Link"))</f>
        <v/>
      </c>
    </row>
    <row r="4" spans="1:9" s="18" customFormat="1" ht="21" customHeight="1" x14ac:dyDescent="0.2">
      <c r="A4" s="72"/>
      <c r="B4" s="70"/>
      <c r="C4" s="44"/>
      <c r="D4" s="68"/>
      <c r="E4" s="11" t="str">
        <f>IF($G$2="OnLine",_xlfn.XLOOKUP(D4, tIngredientes[Mantimento], tIngredientes[Categoria - OnLine],""),_xlfn.XLOOKUP(D4, tIngredientes[Mantimento], tIngredientes[Categoria - Siga],""))</f>
        <v/>
      </c>
      <c r="F4" s="96" t="str" cm="1">
        <f t="array" ref="F4">IF(OR(E4=E3,E4="", E4=0),"",HYPERLINK("https://www.continente.pt/"&amp;SUBSTITUTE(SUBSTITUTE(SUBSTITUTE(StripAccent(E3),",","")," - ","/")," ","-")&amp;"/","Link"))</f>
        <v/>
      </c>
      <c r="G4" s="73"/>
    </row>
    <row r="5" spans="1:9" ht="21" customHeight="1" x14ac:dyDescent="0.2">
      <c r="A5" s="72"/>
      <c r="C5" s="44"/>
      <c r="E5" s="11" t="str">
        <f>IF($G$2="OnLine",_xlfn.XLOOKUP(D5, tIngredientes[Mantimento], tIngredientes[Categoria - OnLine],""),_xlfn.XLOOKUP(D5, tIngredientes[Mantimento], tIngredientes[Categoria - Siga],""))</f>
        <v/>
      </c>
      <c r="F5" s="96" t="str" cm="1">
        <f t="array" ref="F5">IF(OR(E5=E4,E5="", E5=0),"",HYPERLINK("https://www.continente.pt/"&amp;SUBSTITUTE(SUBSTITUTE(SUBSTITUTE(StripAccent(E4),",","")," - ","/")," ","-")&amp;"/","Link"))</f>
        <v/>
      </c>
      <c r="G5" s="71"/>
    </row>
    <row r="6" spans="1:9" s="18" customFormat="1" ht="21" customHeight="1" x14ac:dyDescent="0.2">
      <c r="A6" s="70"/>
      <c r="B6" s="70"/>
      <c r="C6" s="92"/>
      <c r="D6" s="94"/>
      <c r="E6" s="93" t="str">
        <f>IF($G$2="OnLine",_xlfn.XLOOKUP(D6, tIngredientes[Mantimento], tIngredientes[Categoria - OnLine],""),_xlfn.XLOOKUP(D6, tIngredientes[Mantimento], tIngredientes[Categoria - Siga],""))</f>
        <v/>
      </c>
      <c r="F6" s="96" t="str" cm="1">
        <f t="array" ref="F6">IF(OR(E6=E5,E6="", E6=0),"",HYPERLINK("https://www.continente.pt/"&amp;SUBSTITUTE(SUBSTITUTE(SUBSTITUTE(StripAccent(E5),",","")," - ","/")," ","-")&amp;"/","Link"))</f>
        <v/>
      </c>
      <c r="G6" s="73"/>
    </row>
    <row r="7" spans="1:9" s="18" customFormat="1" ht="21" customHeight="1" x14ac:dyDescent="0.2">
      <c r="A7" s="72"/>
      <c r="B7" s="70"/>
      <c r="C7" s="44"/>
      <c r="D7" s="68"/>
      <c r="E7" s="11" t="str">
        <f>IF($G$2="OnLine",_xlfn.XLOOKUP(D7, tIngredientes[Mantimento], tIngredientes[Categoria - OnLine],""),_xlfn.XLOOKUP(D7, tIngredientes[Mantimento], tIngredientes[Categoria - Siga],""))</f>
        <v/>
      </c>
      <c r="F7" s="96" t="str" cm="1">
        <f t="array" ref="F7">IF(OR(E7=E6,E7="", E7=0),"",HYPERLINK("https://www.continente.pt/"&amp;SUBSTITUTE(SUBSTITUTE(SUBSTITUTE(StripAccent(E6),",","")," - ","/")," ","-")&amp;"/","Link"))</f>
        <v/>
      </c>
    </row>
    <row r="8" spans="1:9" s="18" customFormat="1" ht="21" customHeight="1" x14ac:dyDescent="0.2">
      <c r="A8" s="70"/>
      <c r="B8" s="70"/>
      <c r="C8" s="44"/>
      <c r="D8" s="68"/>
      <c r="E8" s="11" t="str">
        <f>IF($G$2="OnLine",_xlfn.XLOOKUP(D8, tIngredientes[Mantimento], tIngredientes[Categoria - OnLine],""),_xlfn.XLOOKUP(D8, tIngredientes[Mantimento], tIngredientes[Categoria - Siga],""))</f>
        <v/>
      </c>
      <c r="F8" s="96" t="str" cm="1">
        <f t="array" ref="F8">IF(OR(E8=E7,E8="", E8=0),"",HYPERLINK("https://www.continente.pt/"&amp;SUBSTITUTE(SUBSTITUTE(SUBSTITUTE(StripAccent(E7),",","")," - ","/")," ","-")&amp;"/","Link"))</f>
        <v/>
      </c>
    </row>
    <row r="9" spans="1:9" s="18" customFormat="1" ht="21" customHeight="1" x14ac:dyDescent="0.2">
      <c r="A9" s="72"/>
      <c r="B9" s="70"/>
      <c r="C9" s="44"/>
      <c r="D9" s="68"/>
      <c r="E9" s="11" t="str">
        <f>IF($G$2="OnLine",_xlfn.XLOOKUP(D9, tIngredientes[Mantimento], tIngredientes[Categoria - OnLine],""),_xlfn.XLOOKUP(D9, tIngredientes[Mantimento], tIngredientes[Categoria - Siga],""))</f>
        <v/>
      </c>
      <c r="F9" s="96" t="str" cm="1">
        <f t="array" ref="F9">IF(OR(E9=E8,E9="", E9=0),"",HYPERLINK("https://www.continente.pt/"&amp;SUBSTITUTE(SUBSTITUTE(SUBSTITUTE(StripAccent(E8),",","")," - ","/")," ","-")&amp;"/","Link"))</f>
        <v/>
      </c>
      <c r="G9" s="73"/>
    </row>
    <row r="10" spans="1:9" ht="21" customHeight="1" x14ac:dyDescent="0.2">
      <c r="A10" s="72"/>
      <c r="C10" s="44"/>
      <c r="E10" s="11" t="str">
        <f>IF($G$2="OnLine",_xlfn.XLOOKUP(D10, tIngredientes[Mantimento], tIngredientes[Categoria - OnLine],""),_xlfn.XLOOKUP(D10, tIngredientes[Mantimento], tIngredientes[Categoria - Siga],""))</f>
        <v/>
      </c>
      <c r="F10" s="96" t="str" cm="1">
        <f t="array" ref="F10">IF(OR(E10=E9,E10="", E10=0),"",HYPERLINK("https://www.continente.pt/"&amp;SUBSTITUTE(SUBSTITUTE(SUBSTITUTE(StripAccent(E9),",","")," - ","/")," ","-")&amp;"/","Link"))</f>
        <v/>
      </c>
      <c r="G10" s="71"/>
    </row>
    <row r="11" spans="1:9" ht="21" customHeight="1" x14ac:dyDescent="0.2">
      <c r="A11" s="72"/>
      <c r="C11" s="44"/>
      <c r="E11" s="11" t="str">
        <f>IF($G$2="OnLine",_xlfn.XLOOKUP(D11, tIngredientes[Mantimento], tIngredientes[Categoria - OnLine],""),_xlfn.XLOOKUP(D11, tIngredientes[Mantimento], tIngredientes[Categoria - Siga],""))</f>
        <v/>
      </c>
      <c r="F11" s="96" t="str" cm="1">
        <f t="array" ref="F11">IF(OR(E11=E10,E11="", E11=0),"",HYPERLINK("https://www.continente.pt/"&amp;SUBSTITUTE(SUBSTITUTE(SUBSTITUTE(StripAccent(E10),",","")," - ","/")," ","-")&amp;"/","Link"))</f>
        <v/>
      </c>
    </row>
    <row r="12" spans="1:9" ht="21" customHeight="1" x14ac:dyDescent="0.2">
      <c r="C12" s="44"/>
      <c r="E12" s="11" t="str">
        <f>IF($G$2="OnLine",_xlfn.XLOOKUP(D12, tIngredientes[Mantimento], tIngredientes[Categoria - OnLine],""),_xlfn.XLOOKUP(D12, tIngredientes[Mantimento], tIngredientes[Categoria - Siga],""))</f>
        <v/>
      </c>
      <c r="F12" s="96" t="str" cm="1">
        <f t="array" ref="F12">IF(OR(E12=E11,E12="", E12=0),"",HYPERLINK("https://www.continente.pt/"&amp;SUBSTITUTE(SUBSTITUTE(SUBSTITUTE(StripAccent(E11),",","")," - ","/")," ","-")&amp;"/","Link"))</f>
        <v/>
      </c>
      <c r="G12" s="71"/>
    </row>
    <row r="13" spans="1:9" s="18" customFormat="1" ht="21" customHeight="1" x14ac:dyDescent="0.2">
      <c r="A13" s="70"/>
      <c r="B13" s="70"/>
      <c r="C13" s="44"/>
      <c r="D13" s="68"/>
      <c r="E13" s="11" t="str">
        <f>IF($G$2="OnLine",_xlfn.XLOOKUP(D13, tIngredientes[Mantimento], tIngredientes[Categoria - OnLine],""),_xlfn.XLOOKUP(D13, tIngredientes[Mantimento], tIngredientes[Categoria - Siga],""))</f>
        <v/>
      </c>
      <c r="F13" s="96" t="str" cm="1">
        <f t="array" ref="F13">IF(OR(E13=E12,E13="", E13=0),"",HYPERLINK("https://www.continente.pt/"&amp;SUBSTITUTE(SUBSTITUTE(SUBSTITUTE(StripAccent(E12),",","")," - ","/")," ","-")&amp;"/","Link"))</f>
        <v/>
      </c>
      <c r="G13" s="73"/>
    </row>
    <row r="14" spans="1:9" s="18" customFormat="1" ht="21" customHeight="1" x14ac:dyDescent="0.2">
      <c r="A14" s="72"/>
      <c r="B14" s="70"/>
      <c r="C14" s="44"/>
      <c r="D14" s="68"/>
      <c r="E14" s="11" t="str">
        <f>IF($G$2="OnLine",_xlfn.XLOOKUP(D14, tIngredientes[Mantimento], tIngredientes[Categoria - OnLine],""),_xlfn.XLOOKUP(D14, tIngredientes[Mantimento], tIngredientes[Categoria - Siga],""))</f>
        <v/>
      </c>
      <c r="F14" s="96" t="str" cm="1">
        <f t="array" ref="F14">IF(OR(E14=E13,E14="", E14=0),"",HYPERLINK("https://www.continente.pt/"&amp;SUBSTITUTE(SUBSTITUTE(SUBSTITUTE(StripAccent(E13),",","")," - ","/")," ","-")&amp;"/","Link"))</f>
        <v/>
      </c>
      <c r="G14" s="73"/>
    </row>
    <row r="15" spans="1:9" ht="21" customHeight="1" x14ac:dyDescent="0.2">
      <c r="C15" s="44"/>
      <c r="E15" s="11" t="str">
        <f>IF($G$2="OnLine",_xlfn.XLOOKUP(D15, tIngredientes[Mantimento], tIngredientes[Categoria - OnLine],""),_xlfn.XLOOKUP(D15, tIngredientes[Mantimento], tIngredientes[Categoria - Siga],""))</f>
        <v/>
      </c>
      <c r="F15" s="96" t="str" cm="1">
        <f t="array" ref="F15">IF(OR(E15=E14,E15="", E15=0),"",HYPERLINK("https://www.continente.pt/"&amp;SUBSTITUTE(SUBSTITUTE(SUBSTITUTE(StripAccent(E14),",","")," - ","/")," ","-")&amp;"/","Link"))</f>
        <v/>
      </c>
      <c r="H15" s="71"/>
      <c r="I15" s="71"/>
    </row>
    <row r="16" spans="1:9" s="18" customFormat="1" ht="21" customHeight="1" x14ac:dyDescent="0.2">
      <c r="A16" s="72"/>
      <c r="B16" s="70"/>
      <c r="C16" s="44"/>
      <c r="D16" s="68"/>
      <c r="E16" s="69"/>
      <c r="F16" s="96" t="str" cm="1">
        <f t="array" ref="F16">IF(OR(E16=E15,E16="", E16=0),"",HYPERLINK("https://www.continente.pt/"&amp;SUBSTITUTE(SUBSTITUTE(SUBSTITUTE(StripAccent(E15),",","")," - ","/")," ","-")&amp;"/","Link"))</f>
        <v/>
      </c>
      <c r="G16" s="69"/>
    </row>
    <row r="17" spans="1:9" s="18" customFormat="1" ht="21" customHeight="1" x14ac:dyDescent="0.2">
      <c r="A17" s="72"/>
      <c r="B17" s="70"/>
      <c r="C17" s="44"/>
      <c r="D17" s="68"/>
      <c r="E17" s="69"/>
      <c r="F17" s="96" t="str" cm="1">
        <f t="array" ref="F17">IF(OR(E17=E16,E17="", E17=0),"",HYPERLINK("https://www.continente.pt/"&amp;SUBSTITUTE(SUBSTITUTE(SUBSTITUTE(StripAccent(E16),",","")," - ","/")," ","-")&amp;"/","Link"))</f>
        <v/>
      </c>
      <c r="G17" s="69"/>
      <c r="H17" s="73"/>
      <c r="I17" s="73"/>
    </row>
    <row r="18" spans="1:9" ht="21" customHeight="1" x14ac:dyDescent="0.2">
      <c r="A18" s="72"/>
      <c r="C18" s="44"/>
      <c r="F18" s="96" t="str" cm="1">
        <f t="array" ref="F18">IF(OR(E18=E17,E18="", E18=0),"",HYPERLINK("https://www.continente.pt/"&amp;SUBSTITUTE(SUBSTITUTE(SUBSTITUTE(StripAccent(E17),",","")," - ","/")," ","-")&amp;"/","Link"))</f>
        <v/>
      </c>
      <c r="H18" s="71"/>
      <c r="I18" s="71"/>
    </row>
    <row r="19" spans="1:9" s="18" customFormat="1" ht="21" customHeight="1" x14ac:dyDescent="0.2">
      <c r="A19" s="70"/>
      <c r="B19" s="70"/>
      <c r="C19" s="44"/>
      <c r="D19" s="68"/>
      <c r="E19" s="69"/>
      <c r="F19" s="96" t="str" cm="1">
        <f t="array" ref="F19">IF(OR(E19=E18,E19="", E19=0),"",HYPERLINK("https://www.continente.pt/"&amp;SUBSTITUTE(SUBSTITUTE(SUBSTITUTE(StripAccent(E18),",","")," - ","/")," ","-")&amp;"/","Link"))</f>
        <v/>
      </c>
      <c r="G19" s="69"/>
      <c r="H19" s="73"/>
      <c r="I19" s="73"/>
    </row>
    <row r="20" spans="1:9" ht="21" customHeight="1" x14ac:dyDescent="0.2">
      <c r="C20" s="44"/>
      <c r="F20" s="96" t="str" cm="1">
        <f t="array" ref="F20">IF(OR(E20=E19,E20="", E20=0),"",HYPERLINK("https://www.continente.pt/"&amp;SUBSTITUTE(SUBSTITUTE(SUBSTITUTE(StripAccent(E19),",","")," - ","/")," ","-")&amp;"/","Link"))</f>
        <v/>
      </c>
      <c r="H20" s="71"/>
      <c r="I20" s="71"/>
    </row>
    <row r="21" spans="1:9" s="18" customFormat="1" ht="21" customHeight="1" x14ac:dyDescent="0.2">
      <c r="A21" s="70"/>
      <c r="B21" s="70"/>
      <c r="C21" s="44"/>
      <c r="D21" s="68"/>
      <c r="E21" s="69"/>
      <c r="F21" s="96" t="str" cm="1">
        <f t="array" ref="F21">IF(OR(E21=E20,E21="", E21=0),"",HYPERLINK("https://www.continente.pt/"&amp;SUBSTITUTE(SUBSTITUTE(SUBSTITUTE(StripAccent(E20),",","")," - ","/")," ","-")&amp;"/","Link"))</f>
        <v/>
      </c>
      <c r="G21" s="69"/>
    </row>
    <row r="22" spans="1:9" s="18" customFormat="1" ht="21" customHeight="1" x14ac:dyDescent="0.2">
      <c r="A22" s="70"/>
      <c r="B22" s="70"/>
      <c r="C22" s="44"/>
      <c r="D22" s="68"/>
      <c r="E22" s="69"/>
      <c r="F22" s="96" t="str" cm="1">
        <f t="array" ref="F22">IF(OR(E22=E21,E22="", E22=0),"",HYPERLINK("https://www.continente.pt/"&amp;SUBSTITUTE(SUBSTITUTE(SUBSTITUTE(StripAccent(E21),",","")," - ","/")," ","-")&amp;"/","Link"))</f>
        <v/>
      </c>
      <c r="G22" s="69"/>
    </row>
    <row r="23" spans="1:9" s="18" customFormat="1" ht="21" customHeight="1" x14ac:dyDescent="0.2">
      <c r="A23" s="70"/>
      <c r="B23" s="70"/>
      <c r="C23" s="44"/>
      <c r="D23" s="68"/>
      <c r="E23" s="69"/>
      <c r="F23" s="96" t="str" cm="1">
        <f t="array" ref="F23">IF(OR(E23=E22,E23="", E23=0),"",HYPERLINK("https://www.continente.pt/"&amp;SUBSTITUTE(SUBSTITUTE(SUBSTITUTE(StripAccent(E22),",","")," - ","/")," ","-")&amp;"/","Link"))</f>
        <v/>
      </c>
      <c r="G23" s="69"/>
    </row>
    <row r="24" spans="1:9" ht="21" customHeight="1" x14ac:dyDescent="0.2">
      <c r="A24" s="72"/>
      <c r="C24" s="44"/>
      <c r="F24" s="96" t="str" cm="1">
        <f t="array" ref="F24">IF(OR(E24=E23,E24="", E24=0),"",HYPERLINK("https://www.continente.pt/"&amp;SUBSTITUTE(SUBSTITUTE(SUBSTITUTE(StripAccent(E23),",","")," - ","/")," ","-")&amp;"/","Link"))</f>
        <v/>
      </c>
      <c r="H24" s="71"/>
      <c r="I24" s="71"/>
    </row>
    <row r="25" spans="1:9" ht="14.25" customHeight="1" x14ac:dyDescent="0.2">
      <c r="C25" s="44"/>
      <c r="F25" s="96" t="str" cm="1">
        <f t="array" ref="F25">IF(OR(E25=E24,E25="", E25=0),"",HYPERLINK("https://www.continente.pt/"&amp;SUBSTITUTE(SUBSTITUTE(SUBSTITUTE(StripAccent(E24),",","")," - ","/")," ","-")&amp;"/","Link"))</f>
        <v/>
      </c>
      <c r="H25" s="71"/>
      <c r="I25" s="71"/>
    </row>
    <row r="26" spans="1:9" s="18" customFormat="1" ht="21" customHeight="1" x14ac:dyDescent="0.2">
      <c r="A26" s="70"/>
      <c r="B26" s="70"/>
      <c r="C26" s="44"/>
      <c r="D26" s="68"/>
      <c r="E26" s="69"/>
      <c r="F26" s="96" t="str" cm="1">
        <f t="array" ref="F26">IF(OR(E26=E25,E26="", E26=0),"",HYPERLINK("https://www.continente.pt/"&amp;SUBSTITUTE(SUBSTITUTE(SUBSTITUTE(StripAccent(E25),",","")," - ","/")," ","-")&amp;"/","Link"))</f>
        <v/>
      </c>
      <c r="G26" s="69"/>
    </row>
    <row r="27" spans="1:9" ht="21" customHeight="1" x14ac:dyDescent="0.2">
      <c r="C27" s="44"/>
      <c r="F27" s="96" t="str" cm="1">
        <f t="array" ref="F27">IF(OR(E27=E26,E27="", E27=0),"",HYPERLINK("https://www.continente.pt/"&amp;SUBSTITUTE(SUBSTITUTE(SUBSTITUTE(StripAccent(E26),",","")," - ","/")," ","-")&amp;"/","Link"))</f>
        <v/>
      </c>
    </row>
    <row r="28" spans="1:9" s="18" customFormat="1" ht="14.25" customHeight="1" x14ac:dyDescent="0.2">
      <c r="A28" s="70"/>
      <c r="B28" s="70"/>
      <c r="C28" s="44"/>
      <c r="D28" s="68"/>
      <c r="E28" s="69"/>
      <c r="F28" s="96" t="str" cm="1">
        <f t="array" ref="F28">IF(OR(E28=E27,E28="", E28=0),"",HYPERLINK("https://www.continente.pt/"&amp;SUBSTITUTE(SUBSTITUTE(SUBSTITUTE(StripAccent(E27),",","")," - ","/")," ","-")&amp;"/","Link"))</f>
        <v/>
      </c>
      <c r="G28" s="69"/>
      <c r="H28" s="73"/>
      <c r="I28" s="73"/>
    </row>
    <row r="29" spans="1:9" s="18" customFormat="1" ht="21" customHeight="1" x14ac:dyDescent="0.2">
      <c r="A29" s="70"/>
      <c r="B29" s="70"/>
      <c r="C29" s="44"/>
      <c r="D29" s="68"/>
      <c r="E29" s="69"/>
      <c r="F29" s="96" t="str" cm="1">
        <f t="array" ref="F29">IF(OR(E29=E28,E29="", E29=0),"",HYPERLINK("https://www.continente.pt/"&amp;SUBSTITUTE(SUBSTITUTE(SUBSTITUTE(StripAccent(E28),",","")," - ","/")," ","-")&amp;"/","Link"))</f>
        <v/>
      </c>
      <c r="G29" s="69"/>
      <c r="H29" s="73"/>
      <c r="I29" s="73"/>
    </row>
    <row r="30" spans="1:9" s="18" customFormat="1" ht="21" customHeight="1" x14ac:dyDescent="0.2">
      <c r="A30" s="72"/>
      <c r="B30" s="70"/>
      <c r="C30" s="44"/>
      <c r="D30" s="68"/>
      <c r="E30" s="69"/>
      <c r="F30" s="96" t="str" cm="1">
        <f t="array" ref="F30">IF(OR(E30=E29,E30="", E30=0),"",HYPERLINK("https://www.continente.pt/"&amp;SUBSTITUTE(SUBSTITUTE(SUBSTITUTE(StripAccent(E29),",","")," - ","/")," ","-")&amp;"/","Link"))</f>
        <v/>
      </c>
      <c r="G30" s="69"/>
      <c r="H30" s="73"/>
      <c r="I30" s="73"/>
    </row>
    <row r="31" spans="1:9" ht="21" customHeight="1" x14ac:dyDescent="0.2">
      <c r="A31" s="72"/>
      <c r="C31" s="44"/>
      <c r="F31" s="96" t="str" cm="1">
        <f t="array" ref="F31">IF(OR(E31=E30,E31="", E31=0),"",HYPERLINK("https://www.continente.pt/"&amp;SUBSTITUTE(SUBSTITUTE(SUBSTITUTE(StripAccent(E30),",","")," - ","/")," ","-")&amp;"/","Link"))</f>
        <v/>
      </c>
      <c r="H31" s="71"/>
      <c r="I31" s="71"/>
    </row>
    <row r="32" spans="1:9" ht="21" customHeight="1" x14ac:dyDescent="0.2">
      <c r="C32" s="44"/>
      <c r="F32" s="96" t="str" cm="1">
        <f t="array" ref="F32">IF(OR(E32=E31,E32="", E32=0),"",HYPERLINK("https://www.continente.pt/"&amp;SUBSTITUTE(SUBSTITUTE(SUBSTITUTE(StripAccent(E31),",","")," - ","/")," ","-")&amp;"/","Link"))</f>
        <v/>
      </c>
    </row>
    <row r="33" spans="1:9" ht="21" customHeight="1" x14ac:dyDescent="0.2">
      <c r="A33" s="72"/>
      <c r="C33" s="44"/>
      <c r="F33" s="96" t="str" cm="1">
        <f t="array" ref="F33">IF(OR(E33=E32,E33="", E33=0),"",HYPERLINK("https://www.continente.pt/"&amp;SUBSTITUTE(SUBSTITUTE(SUBSTITUTE(StripAccent(E32),",","")," - ","/")," ","-")&amp;"/","Link"))</f>
        <v/>
      </c>
    </row>
    <row r="34" spans="1:9" ht="21" customHeight="1" x14ac:dyDescent="0.2">
      <c r="C34" s="44"/>
      <c r="F34" s="96" t="str" cm="1">
        <f t="array" ref="F34">IF(OR(E34=E33,E34="", E34=0),"",HYPERLINK("https://www.continente.pt/"&amp;SUBSTITUTE(SUBSTITUTE(SUBSTITUTE(StripAccent(E33),",","")," - ","/")," ","-")&amp;"/","Link"))</f>
        <v/>
      </c>
    </row>
    <row r="35" spans="1:9" ht="21" customHeight="1" x14ac:dyDescent="0.2">
      <c r="A35" s="72"/>
      <c r="C35" s="44"/>
      <c r="F35" s="96" t="str" cm="1">
        <f t="array" ref="F35">IF(OR(E35=E34,E35="", E35=0),"",HYPERLINK("https://www.continente.pt/"&amp;SUBSTITUTE(SUBSTITUTE(SUBSTITUTE(StripAccent(E34),",","")," - ","/")," ","-")&amp;"/","Link"))</f>
        <v/>
      </c>
      <c r="H35" s="71"/>
      <c r="I35" s="71"/>
    </row>
    <row r="36" spans="1:9" s="18" customFormat="1" ht="21" customHeight="1" x14ac:dyDescent="0.2">
      <c r="A36" s="70"/>
      <c r="B36" s="70"/>
      <c r="C36" s="44"/>
      <c r="D36" s="68"/>
      <c r="E36" s="69"/>
      <c r="F36" s="96" t="str" cm="1">
        <f t="array" ref="F36">IF(OR(E36=E35,E36="", E36=0),"",HYPERLINK("https://www.continente.pt/"&amp;SUBSTITUTE(SUBSTITUTE(SUBSTITUTE(StripAccent(E35),",","")," - ","/")," ","-")&amp;"/","Link"))</f>
        <v/>
      </c>
      <c r="G36" s="69"/>
      <c r="H36" s="73"/>
      <c r="I36" s="73"/>
    </row>
    <row r="37" spans="1:9" ht="21" customHeight="1" x14ac:dyDescent="0.2">
      <c r="C37" s="44"/>
      <c r="F37" s="96" t="str" cm="1">
        <f t="array" ref="F37">IF(OR(E37=E36,E37="", E37=0),"",HYPERLINK("https://www.continente.pt/"&amp;SUBSTITUTE(SUBSTITUTE(SUBSTITUTE(StripAccent(E36),",","")," - ","/")," ","-")&amp;"/","Link"))</f>
        <v/>
      </c>
      <c r="H37" s="71"/>
      <c r="I37" s="71"/>
    </row>
    <row r="38" spans="1:9" ht="21" customHeight="1" x14ac:dyDescent="0.2">
      <c r="A38" s="72"/>
      <c r="C38" s="44"/>
      <c r="F38" s="96" t="str" cm="1">
        <f t="array" ref="F38">IF(OR(E38=E37,E38="", E38=0),"",HYPERLINK("https://www.continente.pt/"&amp;SUBSTITUTE(SUBSTITUTE(SUBSTITUTE(StripAccent(E37),",","")," - ","/")," ","-")&amp;"/","Link"))</f>
        <v/>
      </c>
      <c r="H38" s="71"/>
      <c r="I38" s="71"/>
    </row>
    <row r="39" spans="1:9" ht="21" customHeight="1" x14ac:dyDescent="0.2">
      <c r="A39" s="72"/>
      <c r="C39" s="44"/>
      <c r="F39" s="96" t="str" cm="1">
        <f t="array" ref="F39">IF(OR(E39=E38,E39="", E39=0),"",HYPERLINK("https://www.continente.pt/"&amp;SUBSTITUTE(SUBSTITUTE(SUBSTITUTE(StripAccent(E38),",","")," - ","/")," ","-")&amp;"/","Link"))</f>
        <v/>
      </c>
      <c r="H39" s="71"/>
      <c r="I39" s="71"/>
    </row>
    <row r="40" spans="1:9" s="18" customFormat="1" ht="21" customHeight="1" x14ac:dyDescent="0.2">
      <c r="A40" s="70"/>
      <c r="B40" s="70"/>
      <c r="C40" s="44"/>
      <c r="D40" s="68"/>
      <c r="E40" s="69"/>
      <c r="F40" s="96" t="str" cm="1">
        <f t="array" ref="F40">IF(OR(E40=E39,E40="", E40=0),"",HYPERLINK("https://www.continente.pt/"&amp;SUBSTITUTE(SUBSTITUTE(SUBSTITUTE(StripAccent(E39),",","")," - ","/")," ","-")&amp;"/","Link"))</f>
        <v/>
      </c>
      <c r="G40" s="69"/>
      <c r="H40" s="73"/>
      <c r="I40" s="73"/>
    </row>
    <row r="41" spans="1:9" s="18" customFormat="1" ht="21" customHeight="1" x14ac:dyDescent="0.2">
      <c r="A41" s="72"/>
      <c r="B41" s="70"/>
      <c r="C41" s="44"/>
      <c r="D41" s="68"/>
      <c r="E41" s="69"/>
      <c r="F41" s="96" t="str" cm="1">
        <f t="array" ref="F41">IF(OR(E41=E40,E41="", E41=0),"",HYPERLINK("https://www.continente.pt/"&amp;SUBSTITUTE(SUBSTITUTE(SUBSTITUTE(StripAccent(E40),",","")," - ","/")," ","-")&amp;"/","Link"))</f>
        <v/>
      </c>
      <c r="G41" s="69"/>
      <c r="H41" s="73"/>
      <c r="I41" s="73"/>
    </row>
    <row r="42" spans="1:9" s="18" customFormat="1" ht="21" customHeight="1" x14ac:dyDescent="0.2">
      <c r="A42" s="70"/>
      <c r="B42" s="70"/>
      <c r="C42" s="44"/>
      <c r="D42" s="68"/>
      <c r="E42" s="69"/>
      <c r="F42" s="96" t="str" cm="1">
        <f t="array" ref="F42">IF(OR(E42=E41,E42="", E42=0),"",HYPERLINK("https://www.continente.pt/"&amp;SUBSTITUTE(SUBSTITUTE(SUBSTITUTE(StripAccent(E41),",","")," - ","/")," ","-")&amp;"/","Link"))</f>
        <v/>
      </c>
      <c r="G42" s="69"/>
    </row>
    <row r="43" spans="1:9" s="18" customFormat="1" ht="21" customHeight="1" x14ac:dyDescent="0.2">
      <c r="A43" s="70"/>
      <c r="B43" s="70"/>
      <c r="C43" s="44"/>
      <c r="D43" s="68"/>
      <c r="E43" s="69"/>
      <c r="F43" s="96" t="str" cm="1">
        <f t="array" ref="F43">IF(OR(E43=E42,E43="", E43=0),"",HYPERLINK("https://www.continente.pt/"&amp;SUBSTITUTE(SUBSTITUTE(SUBSTITUTE(StripAccent(E42),",","")," - ","/")," ","-")&amp;"/","Link"))</f>
        <v/>
      </c>
      <c r="G43" s="69"/>
    </row>
    <row r="44" spans="1:9" ht="21" customHeight="1" x14ac:dyDescent="0.2">
      <c r="A44" s="72"/>
      <c r="C44" s="44"/>
      <c r="F44" s="96" t="str" cm="1">
        <f t="array" ref="F44">IF(OR(E44=E43,E44="", E44=0),"",HYPERLINK("https://www.continente.pt/"&amp;SUBSTITUTE(SUBSTITUTE(SUBSTITUTE(StripAccent(E43),",","")," - ","/")," ","-")&amp;"/","Link"))</f>
        <v/>
      </c>
    </row>
    <row r="45" spans="1:9" s="18" customFormat="1" ht="21" customHeight="1" x14ac:dyDescent="0.2">
      <c r="A45" s="72"/>
      <c r="B45" s="70"/>
      <c r="C45" s="44"/>
      <c r="D45" s="68"/>
      <c r="E45" s="69"/>
      <c r="F45" s="96" t="str" cm="1">
        <f t="array" ref="F45">IF(OR(E45=E44,E45="", E45=0),"",HYPERLINK("https://www.continente.pt/"&amp;SUBSTITUTE(SUBSTITUTE(SUBSTITUTE(StripAccent(E44),",","")," - ","/")," ","-")&amp;"/","Link"))</f>
        <v/>
      </c>
      <c r="G45" s="69"/>
    </row>
    <row r="46" spans="1:9" ht="21" customHeight="1" x14ac:dyDescent="0.2">
      <c r="A46" s="72"/>
      <c r="C46" s="44"/>
      <c r="F46" s="96" t="str" cm="1">
        <f t="array" ref="F46">IF(OR(E46=E45,E46="", E46=0),"",HYPERLINK("https://www.continente.pt/"&amp;SUBSTITUTE(SUBSTITUTE(SUBSTITUTE(StripAccent(E45),",","")," - ","/")," ","-")&amp;"/","Link"))</f>
        <v/>
      </c>
      <c r="H46" s="71"/>
      <c r="I46" s="71"/>
    </row>
    <row r="47" spans="1:9" s="18" customFormat="1" ht="21" customHeight="1" x14ac:dyDescent="0.2">
      <c r="A47" s="72"/>
      <c r="B47" s="70"/>
      <c r="C47" s="44"/>
      <c r="D47" s="68"/>
      <c r="E47" s="69"/>
      <c r="F47" s="96" t="str" cm="1">
        <f t="array" ref="F47">IF(OR(E47=E46,E47="", E47=0),"",HYPERLINK("https://www.continente.pt/"&amp;SUBSTITUTE(SUBSTITUTE(SUBSTITUTE(StripAccent(E46),",","")," - ","/")," ","-")&amp;"/","Link"))</f>
        <v/>
      </c>
      <c r="G47" s="69"/>
      <c r="H47" s="73"/>
      <c r="I47" s="73"/>
    </row>
    <row r="48" spans="1:9" ht="21" customHeight="1" x14ac:dyDescent="0.2">
      <c r="A48" s="72"/>
      <c r="C48" s="44"/>
      <c r="F48" s="96" t="str" cm="1">
        <f t="array" ref="F48">IF(OR(E48=E47,E48="", E48=0),"",HYPERLINK("https://www.continente.pt/"&amp;SUBSTITUTE(SUBSTITUTE(SUBSTITUTE(StripAccent(E47),",","")," - ","/")," ","-")&amp;"/","Link"))</f>
        <v/>
      </c>
    </row>
    <row r="49" spans="1:9" s="18" customFormat="1" ht="21" customHeight="1" x14ac:dyDescent="0.2">
      <c r="A49" s="70"/>
      <c r="B49" s="70"/>
      <c r="C49" s="44"/>
      <c r="D49" s="68"/>
      <c r="E49" s="69"/>
      <c r="F49" s="96" t="str" cm="1">
        <f t="array" ref="F49">IF(OR(E49=E48,E49="", E49=0),"",HYPERLINK("https://www.continente.pt/"&amp;SUBSTITUTE(SUBSTITUTE(SUBSTITUTE(StripAccent(E48),",","")," - ","/")," ","-")&amp;"/","Link"))</f>
        <v/>
      </c>
      <c r="G49" s="69"/>
    </row>
    <row r="50" spans="1:9" s="18" customFormat="1" ht="21" customHeight="1" x14ac:dyDescent="0.2">
      <c r="A50" s="70"/>
      <c r="B50" s="70"/>
      <c r="C50" s="44"/>
      <c r="D50" s="68"/>
      <c r="E50" s="69"/>
      <c r="F50" s="96" t="str" cm="1">
        <f t="array" ref="F50">IF(OR(E50=E49,E50="", E50=0),"",HYPERLINK("https://www.continente.pt/"&amp;SUBSTITUTE(SUBSTITUTE(SUBSTITUTE(StripAccent(E49),",","")," - ","/")," ","-")&amp;"/","Link"))</f>
        <v/>
      </c>
      <c r="G50" s="69"/>
    </row>
    <row r="51" spans="1:9" s="18" customFormat="1" ht="21" customHeight="1" x14ac:dyDescent="0.2">
      <c r="A51" s="72"/>
      <c r="B51" s="70"/>
      <c r="C51" s="44"/>
      <c r="D51" s="68"/>
      <c r="E51" s="69"/>
      <c r="F51" s="96" t="str" cm="1">
        <f t="array" ref="F51">IF(OR(E51=E50,E51="", E51=0),"",HYPERLINK("https://www.continente.pt/"&amp;SUBSTITUTE(SUBSTITUTE(SUBSTITUTE(StripAccent(E50),",","")," - ","/")," ","-")&amp;"/","Link"))</f>
        <v/>
      </c>
      <c r="G51" s="69"/>
    </row>
    <row r="52" spans="1:9" ht="21" customHeight="1" x14ac:dyDescent="0.2">
      <c r="A52" s="72"/>
      <c r="C52" s="44"/>
      <c r="F52" s="96" t="str" cm="1">
        <f t="array" ref="F52">IF(OR(E52=E51,E52="", E52=0),"",HYPERLINK("https://www.continente.pt/"&amp;SUBSTITUTE(SUBSTITUTE(SUBSTITUTE(StripAccent(E51),",","")," - ","/")," ","-")&amp;"/","Link"))</f>
        <v/>
      </c>
      <c r="H52" s="71"/>
      <c r="I52" s="71"/>
    </row>
    <row r="53" spans="1:9" s="18" customFormat="1" ht="21" customHeight="1" x14ac:dyDescent="0.2">
      <c r="A53" s="72"/>
      <c r="B53" s="70"/>
      <c r="C53" s="44"/>
      <c r="D53" s="68"/>
      <c r="E53" s="69"/>
      <c r="F53" s="96" t="str" cm="1">
        <f t="array" ref="F53">IF(OR(E53=E52,E53="", E53=0),"",HYPERLINK("https://www.continente.pt/"&amp;SUBSTITUTE(SUBSTITUTE(SUBSTITUTE(StripAccent(E52),",","")," - ","/")," ","-")&amp;"/","Link"))</f>
        <v/>
      </c>
      <c r="G53" s="69"/>
      <c r="H53" s="73"/>
      <c r="I53" s="73"/>
    </row>
    <row r="54" spans="1:9" ht="21" customHeight="1" x14ac:dyDescent="0.2">
      <c r="A54" s="72"/>
      <c r="C54" s="44"/>
      <c r="F54" s="96" t="str" cm="1">
        <f t="array" ref="F54">IF(OR(E54=E53,E54="", E54=0),"",HYPERLINK("https://www.continente.pt/"&amp;SUBSTITUTE(SUBSTITUTE(SUBSTITUTE(StripAccent(E53),",","")," - ","/")," ","-")&amp;"/","Link"))</f>
        <v/>
      </c>
    </row>
    <row r="55" spans="1:9" ht="21" customHeight="1" x14ac:dyDescent="0.2">
      <c r="A55" s="72"/>
      <c r="C55" s="44"/>
      <c r="F55" s="96" t="str" cm="1">
        <f t="array" ref="F55">IF(OR(E55=E54,E55="", E55=0),"",HYPERLINK("https://www.continente.pt/"&amp;SUBSTITUTE(SUBSTITUTE(SUBSTITUTE(StripAccent(E54),",","")," - ","/")," ","-")&amp;"/","Link"))</f>
        <v/>
      </c>
      <c r="H55" s="71"/>
      <c r="I55" s="71"/>
    </row>
    <row r="56" spans="1:9" s="18" customFormat="1" ht="21" customHeight="1" x14ac:dyDescent="0.2">
      <c r="A56" s="72"/>
      <c r="B56" s="70"/>
      <c r="C56" s="44"/>
      <c r="D56" s="68"/>
      <c r="E56" s="69"/>
      <c r="F56" s="96" t="str" cm="1">
        <f t="array" ref="F56">IF(OR(E56=E55,E56="", E56=0),"",HYPERLINK("https://www.continente.pt/"&amp;SUBSTITUTE(SUBSTITUTE(SUBSTITUTE(StripAccent(E55),",","")," - ","/")," ","-")&amp;"/","Link"))</f>
        <v/>
      </c>
      <c r="G56" s="69"/>
      <c r="H56" s="73"/>
      <c r="I56" s="73"/>
    </row>
    <row r="57" spans="1:9" s="18" customFormat="1" ht="21" customHeight="1" x14ac:dyDescent="0.2">
      <c r="A57" s="72"/>
      <c r="B57" s="70"/>
      <c r="C57" s="44"/>
      <c r="D57" s="68"/>
      <c r="E57" s="69"/>
      <c r="F57" s="96" t="str" cm="1">
        <f t="array" ref="F57">IF(OR(E57=E56,E57="", E57=0),"",HYPERLINK("https://www.continente.pt/"&amp;SUBSTITUTE(SUBSTITUTE(SUBSTITUTE(StripAccent(E56),",","")," - ","/")," ","-")&amp;"/","Link"))</f>
        <v/>
      </c>
      <c r="G57" s="69"/>
      <c r="H57" s="73"/>
      <c r="I57" s="73"/>
    </row>
    <row r="58" spans="1:9" s="18" customFormat="1" ht="21" customHeight="1" x14ac:dyDescent="0.2">
      <c r="A58" s="72"/>
      <c r="B58" s="70"/>
      <c r="C58" s="44"/>
      <c r="D58" s="68"/>
      <c r="E58" s="69"/>
      <c r="F58" s="96" t="str" cm="1">
        <f t="array" ref="F58">IF(OR(E58=E57,E58="", E58=0),"",HYPERLINK("https://www.continente.pt/"&amp;SUBSTITUTE(SUBSTITUTE(SUBSTITUTE(StripAccent(E57),",","")," - ","/")," ","-")&amp;"/","Link"))</f>
        <v/>
      </c>
      <c r="G58" s="69"/>
      <c r="H58" s="73"/>
      <c r="I58" s="73"/>
    </row>
    <row r="59" spans="1:9" s="18" customFormat="1" ht="21" customHeight="1" x14ac:dyDescent="0.2">
      <c r="A59" s="72"/>
      <c r="B59" s="70"/>
      <c r="C59" s="44"/>
      <c r="D59" s="68"/>
      <c r="E59" s="69"/>
      <c r="F59" s="96" t="str" cm="1">
        <f t="array" ref="F59">IF(OR(E59=E58,E59="", E59=0),"",HYPERLINK("https://www.continente.pt/"&amp;SUBSTITUTE(SUBSTITUTE(SUBSTITUTE(StripAccent(E58),",","")," - ","/")," ","-")&amp;"/","Link"))</f>
        <v/>
      </c>
      <c r="G59" s="69"/>
    </row>
    <row r="60" spans="1:9" s="18" customFormat="1" ht="21" customHeight="1" x14ac:dyDescent="0.2">
      <c r="A60" s="72"/>
      <c r="B60" s="70"/>
      <c r="C60" s="44"/>
      <c r="D60" s="68"/>
      <c r="E60" s="69"/>
      <c r="F60" s="96" t="str" cm="1">
        <f t="array" ref="F60">IF(OR(E60=E59,E60="", E60=0),"",HYPERLINK("https://www.continente.pt/"&amp;SUBSTITUTE(SUBSTITUTE(SUBSTITUTE(StripAccent(E59),",","")," - ","/")," ","-")&amp;"/","Link"))</f>
        <v/>
      </c>
      <c r="G60" s="69"/>
    </row>
    <row r="61" spans="1:9" ht="21" customHeight="1" x14ac:dyDescent="0.2">
      <c r="A61" s="72"/>
      <c r="C61" s="44"/>
      <c r="F61" s="96" t="str" cm="1">
        <f t="array" ref="F61">IF(OR(E61=E60,E61="", E61=0),"",HYPERLINK("https://www.continente.pt/"&amp;SUBSTITUTE(SUBSTITUTE(SUBSTITUTE(StripAccent(E60),",","")," - ","/")," ","-")&amp;"/","Link"))</f>
        <v/>
      </c>
    </row>
    <row r="62" spans="1:9" ht="21" customHeight="1" x14ac:dyDescent="0.2">
      <c r="A62" s="72"/>
      <c r="C62" s="44"/>
      <c r="F62" s="96" t="str" cm="1">
        <f t="array" ref="F62">IF(OR(E62=E61,E62="", E62=0),"",HYPERLINK("https://www.continente.pt/"&amp;SUBSTITUTE(SUBSTITUTE(SUBSTITUTE(StripAccent(E61),",","")," - ","/")," ","-")&amp;"/","Link"))</f>
        <v/>
      </c>
    </row>
    <row r="63" spans="1:9" s="18" customFormat="1" ht="21" customHeight="1" x14ac:dyDescent="0.2">
      <c r="A63" s="72"/>
      <c r="B63" s="70"/>
      <c r="C63" s="44"/>
      <c r="D63" s="68"/>
      <c r="E63" s="69"/>
      <c r="F63" s="96" t="str" cm="1">
        <f t="array" ref="F63">IF(OR(E63=E62,E63="", E63=0),"",HYPERLINK("https://www.continente.pt/"&amp;SUBSTITUTE(SUBSTITUTE(SUBSTITUTE(StripAccent(E62),",","")," - ","/")," ","-")&amp;"/","Link"))</f>
        <v/>
      </c>
      <c r="G63" s="69"/>
      <c r="H63" s="73"/>
      <c r="I63" s="73"/>
    </row>
    <row r="64" spans="1:9" s="18" customFormat="1" ht="21" customHeight="1" x14ac:dyDescent="0.2">
      <c r="A64" s="72"/>
      <c r="B64" s="70"/>
      <c r="C64" s="44"/>
      <c r="D64" s="68"/>
      <c r="E64" s="69"/>
      <c r="F64" s="96" t="str" cm="1">
        <f t="array" ref="F64">IF(OR(E64=E63,E64="", E64=0),"",HYPERLINK("https://www.continente.pt/"&amp;SUBSTITUTE(SUBSTITUTE(SUBSTITUTE(StripAccent(E63),",","")," - ","/")," ","-")&amp;"/","Link"))</f>
        <v/>
      </c>
      <c r="G64" s="69"/>
      <c r="H64" s="73"/>
      <c r="I64" s="73"/>
    </row>
    <row r="65" spans="1:7" s="18" customFormat="1" ht="21" customHeight="1" x14ac:dyDescent="0.2">
      <c r="A65" s="72"/>
      <c r="B65" s="70"/>
      <c r="C65" s="44"/>
      <c r="D65" s="68"/>
      <c r="E65" s="69"/>
      <c r="F65" s="96" t="str" cm="1">
        <f t="array" ref="F65">IF(OR(E65=E64,E65="", E65=0),"",HYPERLINK("https://www.continente.pt/"&amp;SUBSTITUTE(SUBSTITUTE(SUBSTITUTE(StripAccent(E64),",","")," - ","/")," ","-")&amp;"/","Link"))</f>
        <v/>
      </c>
      <c r="G65" s="69"/>
    </row>
    <row r="66" spans="1:7" s="18" customFormat="1" ht="21" customHeight="1" x14ac:dyDescent="0.2">
      <c r="A66" s="72"/>
      <c r="B66" s="70"/>
      <c r="C66" s="44"/>
      <c r="D66" s="68"/>
      <c r="E66" s="69"/>
      <c r="F66" s="96" t="str" cm="1">
        <f t="array" ref="F66">IF(OR(E66=E65,E66="", E66=0),"",HYPERLINK("https://www.continente.pt/"&amp;SUBSTITUTE(SUBSTITUTE(SUBSTITUTE(StripAccent(E65),",","")," - ","/")," ","-")&amp;"/","Link"))</f>
        <v/>
      </c>
      <c r="G66" s="69"/>
    </row>
    <row r="67" spans="1:7" s="18" customFormat="1" ht="21" customHeight="1" x14ac:dyDescent="0.2">
      <c r="A67" s="72"/>
      <c r="B67" s="70"/>
      <c r="C67" s="44"/>
      <c r="D67" s="68"/>
      <c r="E67" s="69"/>
      <c r="F67" s="96" t="str" cm="1">
        <f t="array" ref="F67">IF(OR(E67=E66,E67="", E67=0),"",HYPERLINK("https://www.continente.pt/"&amp;SUBSTITUTE(SUBSTITUTE(SUBSTITUTE(StripAccent(E66),",","")," - ","/")," ","-")&amp;"/","Link"))</f>
        <v/>
      </c>
      <c r="G67" s="69"/>
    </row>
    <row r="68" spans="1:7" s="18" customFormat="1" ht="21" customHeight="1" x14ac:dyDescent="0.2">
      <c r="A68" s="72"/>
      <c r="B68" s="70"/>
      <c r="C68" s="44"/>
      <c r="D68" s="68"/>
      <c r="E68" s="69"/>
      <c r="F68" s="96" t="str" cm="1">
        <f t="array" ref="F68">IF(OR(E68=E67,E68="", E68=0),"",HYPERLINK("https://www.continente.pt/"&amp;SUBSTITUTE(SUBSTITUTE(SUBSTITUTE(StripAccent(E67),",","")," - ","/")," ","-")&amp;"/","Link"))</f>
        <v/>
      </c>
      <c r="G68" s="69"/>
    </row>
    <row r="69" spans="1:7" s="18" customFormat="1" ht="21" customHeight="1" x14ac:dyDescent="0.2">
      <c r="A69" s="72"/>
      <c r="B69" s="70"/>
      <c r="C69" s="44"/>
      <c r="D69" s="68"/>
      <c r="E69" s="69"/>
      <c r="F69" s="96" t="str" cm="1">
        <f t="array" ref="F69">IF(OR(E69=E68,E69="", E69=0),"",HYPERLINK("https://www.continente.pt/"&amp;SUBSTITUTE(SUBSTITUTE(SUBSTITUTE(StripAccent(E68),",","")," - ","/")," ","-")&amp;"/","Link"))</f>
        <v/>
      </c>
      <c r="G69" s="69"/>
    </row>
    <row r="70" spans="1:7" s="18" customFormat="1" ht="21" customHeight="1" x14ac:dyDescent="0.2">
      <c r="A70" s="72"/>
      <c r="B70" s="70"/>
      <c r="C70" s="44"/>
      <c r="D70" s="68"/>
      <c r="E70" s="69"/>
      <c r="F70" s="96" t="str" cm="1">
        <f t="array" ref="F70">IF(OR(E70=E69,E70="", E70=0),"",HYPERLINK("https://www.continente.pt/"&amp;SUBSTITUTE(SUBSTITUTE(SUBSTITUTE(StripAccent(E69),",","")," - ","/")," ","-")&amp;"/","Link"))</f>
        <v/>
      </c>
      <c r="G70" s="69"/>
    </row>
    <row r="71" spans="1:7" s="18" customFormat="1" ht="21" customHeight="1" x14ac:dyDescent="0.2">
      <c r="A71" s="72"/>
      <c r="B71" s="70"/>
      <c r="C71" s="44"/>
      <c r="D71" s="68"/>
      <c r="E71" s="69"/>
      <c r="F71" s="96" t="str" cm="1">
        <f t="array" ref="F71">IF(OR(E71=E70,E71="", E71=0),"",HYPERLINK("https://www.continente.pt/"&amp;SUBSTITUTE(SUBSTITUTE(SUBSTITUTE(StripAccent(E70),",","")," - ","/")," ","-")&amp;"/","Link"))</f>
        <v/>
      </c>
      <c r="G71" s="69"/>
    </row>
    <row r="72" spans="1:7" s="18" customFormat="1" ht="21" customHeight="1" x14ac:dyDescent="0.2">
      <c r="A72" s="72"/>
      <c r="B72" s="70"/>
      <c r="C72" s="44"/>
      <c r="D72" s="68"/>
      <c r="E72" s="69"/>
      <c r="F72" s="96" t="str" cm="1">
        <f t="array" ref="F72">IF(OR(E72=E71,E72="", E72=0),"",HYPERLINK("https://www.continente.pt/"&amp;SUBSTITUTE(SUBSTITUTE(SUBSTITUTE(StripAccent(E71),",","")," - ","/")," ","-")&amp;"/","Link"))</f>
        <v/>
      </c>
      <c r="G72" s="69"/>
    </row>
    <row r="73" spans="1:7" s="18" customFormat="1" ht="21" customHeight="1" x14ac:dyDescent="0.2">
      <c r="A73" s="72"/>
      <c r="B73" s="70"/>
      <c r="C73" s="44"/>
      <c r="D73" s="68"/>
      <c r="E73" s="69"/>
      <c r="F73" s="96" t="str" cm="1">
        <f t="array" ref="F73">IF(OR(E73=E72,E73="", E73=0),"",HYPERLINK("https://www.continente.pt/"&amp;SUBSTITUTE(SUBSTITUTE(SUBSTITUTE(StripAccent(E72),",","")," - ","/")," ","-")&amp;"/","Link"))</f>
        <v/>
      </c>
      <c r="G73" s="69"/>
    </row>
    <row r="74" spans="1:7" s="18" customFormat="1" ht="21" customHeight="1" x14ac:dyDescent="0.2">
      <c r="A74" s="72"/>
      <c r="B74" s="70"/>
      <c r="C74" s="44"/>
      <c r="D74" s="68"/>
      <c r="E74" s="69"/>
      <c r="F74" s="96" t="str" cm="1">
        <f t="array" ref="F74">IF(OR(E74=E73,E74="", E74=0),"",HYPERLINK("https://www.continente.pt/"&amp;SUBSTITUTE(SUBSTITUTE(SUBSTITUTE(StripAccent(E73),",","")," - ","/")," ","-")&amp;"/","Link"))</f>
        <v/>
      </c>
      <c r="G74" s="69"/>
    </row>
    <row r="75" spans="1:7" s="18" customFormat="1" ht="21" customHeight="1" x14ac:dyDescent="0.2">
      <c r="A75" s="72"/>
      <c r="B75" s="70"/>
      <c r="C75" s="44"/>
      <c r="D75" s="68"/>
      <c r="E75" s="69"/>
      <c r="F75" s="96" t="str" cm="1">
        <f t="array" ref="F75">IF(OR(E75=E74,E75="", E75=0),"",HYPERLINK("https://www.continente.pt/"&amp;SUBSTITUTE(SUBSTITUTE(SUBSTITUTE(StripAccent(E74),",","")," - ","/")," ","-")&amp;"/","Link"))</f>
        <v/>
      </c>
      <c r="G75" s="69"/>
    </row>
    <row r="76" spans="1:7" s="18" customFormat="1" ht="21" customHeight="1" x14ac:dyDescent="0.2">
      <c r="A76" s="72"/>
      <c r="B76" s="70"/>
      <c r="C76" s="44"/>
      <c r="D76" s="68"/>
      <c r="E76" s="69"/>
      <c r="F76" s="96" t="str" cm="1">
        <f t="array" ref="F76">IF(OR(E76=E75,E76="", E76=0),"",HYPERLINK("https://www.continente.pt/"&amp;SUBSTITUTE(SUBSTITUTE(SUBSTITUTE(StripAccent(E75),",","")," - ","/")," ","-")&amp;"/","Link"))</f>
        <v/>
      </c>
      <c r="G76" s="69"/>
    </row>
    <row r="77" spans="1:7" s="18" customFormat="1" ht="21" customHeight="1" x14ac:dyDescent="0.2">
      <c r="A77" s="72"/>
      <c r="B77" s="70"/>
      <c r="C77" s="44"/>
      <c r="D77" s="68"/>
      <c r="E77" s="69"/>
      <c r="F77" s="96" t="str" cm="1">
        <f t="array" ref="F77">IF(OR(E77=E76,E77="", E77=0),"",HYPERLINK("https://www.continente.pt/"&amp;SUBSTITUTE(SUBSTITUTE(SUBSTITUTE(StripAccent(E76),",","")," - ","/")," ","-")&amp;"/","Link"))</f>
        <v/>
      </c>
      <c r="G77" s="69"/>
    </row>
    <row r="78" spans="1:7" s="18" customFormat="1" ht="21" customHeight="1" x14ac:dyDescent="0.2">
      <c r="A78" s="72"/>
      <c r="B78" s="70"/>
      <c r="C78" s="44"/>
      <c r="D78" s="68"/>
      <c r="E78" s="69"/>
      <c r="F78" s="96" t="str" cm="1">
        <f t="array" ref="F78">IF(OR(E78=E77,E78="", E78=0),"",HYPERLINK("https://www.continente.pt/"&amp;SUBSTITUTE(SUBSTITUTE(SUBSTITUTE(StripAccent(E77),",","")," - ","/")," ","-")&amp;"/","Link"))</f>
        <v/>
      </c>
      <c r="G78" s="69"/>
    </row>
    <row r="79" spans="1:7" s="18" customFormat="1" ht="21" customHeight="1" x14ac:dyDescent="0.2">
      <c r="A79" s="72"/>
      <c r="B79" s="70"/>
      <c r="C79" s="44"/>
      <c r="D79" s="68"/>
      <c r="E79" s="69"/>
      <c r="F79" s="96" t="str" cm="1">
        <f t="array" ref="F79">IF(OR(E79=E78,E79="", E79=0),"",HYPERLINK("https://www.continente.pt/"&amp;SUBSTITUTE(SUBSTITUTE(SUBSTITUTE(StripAccent(E78),",","")," - ","/")," ","-")&amp;"/","Link"))</f>
        <v/>
      </c>
      <c r="G79" s="69"/>
    </row>
    <row r="80" spans="1:7" s="18" customFormat="1" ht="21" customHeight="1" x14ac:dyDescent="0.2">
      <c r="A80" s="72"/>
      <c r="B80" s="70"/>
      <c r="C80" s="44"/>
      <c r="D80" s="68"/>
      <c r="E80" s="69"/>
      <c r="F80" s="96" t="str" cm="1">
        <f t="array" ref="F80">IF(OR(E80=E79,E80="", E80=0),"",HYPERLINK("https://www.continente.pt/"&amp;SUBSTITUTE(SUBSTITUTE(SUBSTITUTE(StripAccent(E79),",","")," - ","/")," ","-")&amp;"/","Link"))</f>
        <v/>
      </c>
      <c r="G80" s="69"/>
    </row>
    <row r="81" spans="1:7" s="18" customFormat="1" ht="21" customHeight="1" x14ac:dyDescent="0.2">
      <c r="A81" s="72"/>
      <c r="B81" s="70"/>
      <c r="C81" s="44"/>
      <c r="D81" s="68"/>
      <c r="E81" s="69"/>
      <c r="F81" s="96" t="str" cm="1">
        <f t="array" ref="F81">IF(OR(E81=E80,E81="", E81=0),"",HYPERLINK("https://www.continente.pt/"&amp;SUBSTITUTE(SUBSTITUTE(SUBSTITUTE(StripAccent(E80),",","")," - ","/")," ","-")&amp;"/","Link"))</f>
        <v/>
      </c>
      <c r="G81" s="69"/>
    </row>
    <row r="82" spans="1:7" s="18" customFormat="1" ht="21" customHeight="1" x14ac:dyDescent="0.2">
      <c r="A82" s="72"/>
      <c r="B82" s="70"/>
      <c r="C82" s="44"/>
      <c r="D82" s="68"/>
      <c r="E82" s="69"/>
      <c r="F82" s="96" t="str" cm="1">
        <f t="array" ref="F82">IF(OR(E82=E81,E82="", E82=0),"",HYPERLINK("https://www.continente.pt/"&amp;SUBSTITUTE(SUBSTITUTE(SUBSTITUTE(StripAccent(E81),",","")," - ","/")," ","-")&amp;"/","Link"))</f>
        <v/>
      </c>
      <c r="G82" s="69"/>
    </row>
    <row r="83" spans="1:7" s="18" customFormat="1" ht="21" customHeight="1" x14ac:dyDescent="0.2">
      <c r="A83" s="72"/>
      <c r="B83" s="70"/>
      <c r="C83" s="44"/>
      <c r="D83" s="68"/>
      <c r="E83" s="69"/>
      <c r="F83" s="96" t="str" cm="1">
        <f t="array" ref="F83">IF(OR(E83=E82,E83="", E83=0),"",HYPERLINK("https://www.continente.pt/"&amp;SUBSTITUTE(SUBSTITUTE(SUBSTITUTE(StripAccent(E82),",","")," - ","/")," ","-")&amp;"/","Link"))</f>
        <v/>
      </c>
      <c r="G83" s="69"/>
    </row>
    <row r="84" spans="1:7" s="18" customFormat="1" ht="21" customHeight="1" x14ac:dyDescent="0.2">
      <c r="A84" s="72"/>
      <c r="B84" s="70"/>
      <c r="C84" s="44"/>
      <c r="D84" s="68"/>
      <c r="E84" s="69"/>
      <c r="F84" s="96" t="str" cm="1">
        <f t="array" ref="F84">IF(OR(E84=E83,E84="", E84=0),"",HYPERLINK("https://www.continente.pt/"&amp;SUBSTITUTE(SUBSTITUTE(SUBSTITUTE(StripAccent(E83),",","")," - ","/")," ","-")&amp;"/","Link"))</f>
        <v/>
      </c>
      <c r="G84" s="69"/>
    </row>
    <row r="85" spans="1:7" s="18" customFormat="1" ht="21" customHeight="1" x14ac:dyDescent="0.2">
      <c r="A85" s="72"/>
      <c r="B85" s="70"/>
      <c r="C85" s="44"/>
      <c r="D85" s="68"/>
      <c r="E85" s="69"/>
      <c r="F85" s="96" t="str" cm="1">
        <f t="array" ref="F85">IF(OR(E85=E84,E85="", E85=0),"",HYPERLINK("https://www.continente.pt/"&amp;SUBSTITUTE(SUBSTITUTE(SUBSTITUTE(StripAccent(E84),",","")," - ","/")," ","-")&amp;"/","Link"))</f>
        <v/>
      </c>
      <c r="G85" s="69"/>
    </row>
    <row r="86" spans="1:7" s="18" customFormat="1" ht="21" customHeight="1" x14ac:dyDescent="0.2">
      <c r="A86" s="72"/>
      <c r="B86" s="70"/>
      <c r="C86" s="44"/>
      <c r="D86" s="68"/>
      <c r="E86" s="69"/>
      <c r="F86" s="96" t="str" cm="1">
        <f t="array" ref="F86">IF(OR(E86=E85,E86="", E86=0),"",HYPERLINK("https://www.continente.pt/"&amp;SUBSTITUTE(SUBSTITUTE(SUBSTITUTE(StripAccent(E85),",","")," - ","/")," ","-")&amp;"/","Link"))</f>
        <v/>
      </c>
      <c r="G86" s="69"/>
    </row>
    <row r="87" spans="1:7" s="18" customFormat="1" ht="21" customHeight="1" x14ac:dyDescent="0.2">
      <c r="A87" s="72"/>
      <c r="B87" s="70"/>
      <c r="C87" s="44"/>
      <c r="D87" s="68"/>
      <c r="E87" s="69"/>
      <c r="F87" s="96" t="str" cm="1">
        <f t="array" ref="F87">IF(OR(E87=E86,E87="", E87=0),"",HYPERLINK("https://www.continente.pt/"&amp;SUBSTITUTE(SUBSTITUTE(SUBSTITUTE(StripAccent(E86),",","")," - ","/")," ","-")&amp;"/","Link"))</f>
        <v/>
      </c>
      <c r="G87" s="69"/>
    </row>
    <row r="88" spans="1:7" s="18" customFormat="1" ht="21" customHeight="1" x14ac:dyDescent="0.2">
      <c r="A88" s="72"/>
      <c r="B88" s="70"/>
      <c r="C88" s="44"/>
      <c r="D88" s="68"/>
      <c r="E88" s="69"/>
      <c r="F88" s="96" t="str" cm="1">
        <f t="array" ref="F88">IF(OR(E88=E87,E88="", E88=0),"",HYPERLINK("https://www.continente.pt/"&amp;SUBSTITUTE(SUBSTITUTE(SUBSTITUTE(StripAccent(E87),",","")," - ","/")," ","-")&amp;"/","Link"))</f>
        <v/>
      </c>
      <c r="G88" s="69"/>
    </row>
    <row r="89" spans="1:7" s="18" customFormat="1" ht="21" customHeight="1" x14ac:dyDescent="0.2">
      <c r="A89" s="72"/>
      <c r="B89" s="70"/>
      <c r="C89" s="44"/>
      <c r="D89" s="68"/>
      <c r="E89" s="69"/>
      <c r="F89" s="96" t="str" cm="1">
        <f t="array" ref="F89">IF(OR(E89=E88,E89="", E89=0),"",HYPERLINK("https://www.continente.pt/"&amp;SUBSTITUTE(SUBSTITUTE(SUBSTITUTE(StripAccent(E88),",","")," - ","/")," ","-")&amp;"/","Link"))</f>
        <v/>
      </c>
      <c r="G89" s="69"/>
    </row>
    <row r="90" spans="1:7" s="18" customFormat="1" ht="21" customHeight="1" x14ac:dyDescent="0.2">
      <c r="A90" s="72"/>
      <c r="B90" s="70"/>
      <c r="C90" s="44"/>
      <c r="D90" s="68"/>
      <c r="E90" s="69"/>
      <c r="F90" s="96" t="str" cm="1">
        <f t="array" ref="F90">IF(OR(E90=E89,E90="", E90=0),"",HYPERLINK("https://www.continente.pt/"&amp;SUBSTITUTE(SUBSTITUTE(SUBSTITUTE(StripAccent(E89),",","")," - ","/")," ","-")&amp;"/","Link"))</f>
        <v/>
      </c>
      <c r="G90" s="69"/>
    </row>
    <row r="91" spans="1:7" s="18" customFormat="1" ht="21" customHeight="1" x14ac:dyDescent="0.2">
      <c r="A91" s="72"/>
      <c r="B91" s="70"/>
      <c r="C91" s="44"/>
      <c r="D91" s="68"/>
      <c r="E91" s="69"/>
      <c r="F91" s="96" t="str" cm="1">
        <f t="array" ref="F91">IF(OR(E91=E90,E91="", E91=0),"",HYPERLINK("https://www.continente.pt/"&amp;SUBSTITUTE(SUBSTITUTE(SUBSTITUTE(StripAccent(E90),",","")," - ","/")," ","-")&amp;"/","Link"))</f>
        <v/>
      </c>
      <c r="G91" s="69"/>
    </row>
    <row r="92" spans="1:7" s="18" customFormat="1" ht="21" customHeight="1" x14ac:dyDescent="0.2">
      <c r="A92" s="72"/>
      <c r="B92" s="70"/>
      <c r="C92" s="44"/>
      <c r="D92" s="68"/>
      <c r="E92" s="69"/>
      <c r="F92" s="96" t="str" cm="1">
        <f t="array" ref="F92">IF(OR(E92=E91,E92="", E92=0),"",HYPERLINK("https://www.continente.pt/"&amp;SUBSTITUTE(SUBSTITUTE(SUBSTITUTE(StripAccent(E91),",","")," - ","/")," ","-")&amp;"/","Link"))</f>
        <v/>
      </c>
      <c r="G92" s="69"/>
    </row>
    <row r="93" spans="1:7" s="18" customFormat="1" ht="21" customHeight="1" x14ac:dyDescent="0.2">
      <c r="A93" s="72"/>
      <c r="B93" s="70"/>
      <c r="C93" s="44"/>
      <c r="D93" s="68"/>
      <c r="E93" s="69"/>
      <c r="F93" s="96" t="str" cm="1">
        <f t="array" ref="F93">IF(OR(E93=E92,E93="", E93=0),"",HYPERLINK("https://www.continente.pt/"&amp;SUBSTITUTE(SUBSTITUTE(SUBSTITUTE(StripAccent(E92),",","")," - ","/")," ","-")&amp;"/","Link"))</f>
        <v/>
      </c>
      <c r="G93" s="69"/>
    </row>
    <row r="94" spans="1:7" s="18" customFormat="1" ht="21" customHeight="1" x14ac:dyDescent="0.2">
      <c r="A94" s="72"/>
      <c r="B94" s="70"/>
      <c r="C94" s="44"/>
      <c r="D94" s="68"/>
      <c r="E94" s="69"/>
      <c r="F94" s="97"/>
      <c r="G94" s="69"/>
    </row>
    <row r="95" spans="1:7" s="18" customFormat="1" ht="21" customHeight="1" x14ac:dyDescent="0.2">
      <c r="A95" s="72"/>
      <c r="B95" s="70"/>
      <c r="C95" s="44"/>
      <c r="D95" s="68"/>
      <c r="E95" s="69"/>
      <c r="F95" s="97"/>
      <c r="G95" s="69"/>
    </row>
    <row r="96" spans="1:7" s="18" customFormat="1" ht="21" customHeight="1" x14ac:dyDescent="0.2">
      <c r="A96" s="72"/>
      <c r="B96" s="70"/>
      <c r="C96" s="44"/>
      <c r="D96" s="68"/>
      <c r="E96" s="69"/>
      <c r="F96" s="97"/>
      <c r="G96" s="69"/>
    </row>
    <row r="97" spans="1:7" s="18" customFormat="1" ht="21" customHeight="1" x14ac:dyDescent="0.2">
      <c r="A97" s="72"/>
      <c r="B97" s="70"/>
      <c r="C97" s="44"/>
      <c r="D97" s="68"/>
      <c r="E97" s="69"/>
      <c r="F97" s="97"/>
      <c r="G97" s="69"/>
    </row>
    <row r="98" spans="1:7" s="18" customFormat="1" ht="21" customHeight="1" x14ac:dyDescent="0.2">
      <c r="A98" s="72"/>
      <c r="B98" s="70"/>
      <c r="C98" s="44"/>
      <c r="D98" s="68"/>
      <c r="E98" s="69"/>
      <c r="F98" s="97"/>
      <c r="G98" s="69"/>
    </row>
    <row r="99" spans="1:7" s="18" customFormat="1" ht="21" customHeight="1" x14ac:dyDescent="0.2">
      <c r="A99" s="72"/>
      <c r="B99" s="70"/>
      <c r="C99" s="44"/>
      <c r="D99" s="68"/>
      <c r="E99" s="69"/>
      <c r="F99" s="97"/>
      <c r="G99" s="69"/>
    </row>
    <row r="100" spans="1:7" s="18" customFormat="1" ht="21" customHeight="1" x14ac:dyDescent="0.2">
      <c r="A100" s="72"/>
      <c r="B100" s="70"/>
      <c r="C100" s="44"/>
      <c r="D100" s="68"/>
      <c r="E100" s="69"/>
      <c r="F100" s="97"/>
      <c r="G100" s="69"/>
    </row>
    <row r="101" spans="1:7" s="18" customFormat="1" ht="21" customHeight="1" x14ac:dyDescent="0.2">
      <c r="A101" s="72"/>
      <c r="B101" s="70"/>
      <c r="C101" s="44"/>
      <c r="D101" s="68"/>
      <c r="E101" s="69"/>
      <c r="F101" s="97"/>
      <c r="G101" s="69"/>
    </row>
    <row r="102" spans="1:7" s="18" customFormat="1" ht="21" customHeight="1" x14ac:dyDescent="0.2">
      <c r="A102" s="72"/>
      <c r="B102" s="70"/>
      <c r="C102" s="67"/>
      <c r="D102" s="68"/>
      <c r="E102" s="69"/>
      <c r="F102" s="97"/>
      <c r="G102" s="69"/>
    </row>
    <row r="103" spans="1:7" s="18" customFormat="1" ht="21" customHeight="1" x14ac:dyDescent="0.2">
      <c r="A103" s="72"/>
      <c r="B103" s="70"/>
      <c r="C103" s="67"/>
      <c r="D103" s="68"/>
      <c r="E103" s="69"/>
      <c r="F103" s="97"/>
      <c r="G103" s="69"/>
    </row>
    <row r="104" spans="1:7" s="18" customFormat="1" ht="21" customHeight="1" x14ac:dyDescent="0.2">
      <c r="A104" s="72"/>
      <c r="B104" s="70"/>
      <c r="C104" s="67"/>
      <c r="D104" s="68"/>
      <c r="E104" s="69"/>
      <c r="F104" s="97"/>
      <c r="G104" s="69"/>
    </row>
    <row r="105" spans="1:7" s="18" customFormat="1" ht="21" customHeight="1" x14ac:dyDescent="0.2">
      <c r="A105" s="70"/>
      <c r="B105" s="70"/>
      <c r="C105" s="67"/>
      <c r="D105" s="68"/>
      <c r="E105" s="69"/>
      <c r="F105" s="97"/>
      <c r="G105" s="69"/>
    </row>
    <row r="106" spans="1:7" s="18" customFormat="1" ht="21" customHeight="1" x14ac:dyDescent="0.2">
      <c r="A106" s="70"/>
      <c r="B106" s="70"/>
      <c r="C106" s="67"/>
      <c r="D106" s="68"/>
      <c r="E106" s="69"/>
      <c r="F106" s="97"/>
      <c r="G106" s="69"/>
    </row>
    <row r="107" spans="1:7" s="18" customFormat="1" ht="21" customHeight="1" x14ac:dyDescent="0.2">
      <c r="A107" s="70"/>
      <c r="B107" s="70"/>
      <c r="C107" s="67"/>
      <c r="D107" s="68"/>
      <c r="E107" s="69"/>
      <c r="F107" s="97"/>
      <c r="G107" s="69"/>
    </row>
    <row r="108" spans="1:7" s="18" customFormat="1" ht="21" customHeight="1" x14ac:dyDescent="0.2">
      <c r="A108" s="70"/>
      <c r="B108" s="70"/>
      <c r="C108" s="67"/>
      <c r="D108" s="68"/>
      <c r="E108" s="69"/>
      <c r="F108" s="97"/>
      <c r="G108" s="69"/>
    </row>
    <row r="109" spans="1:7" s="18" customFormat="1" ht="21" customHeight="1" x14ac:dyDescent="0.2">
      <c r="A109" s="70"/>
      <c r="B109" s="70"/>
      <c r="C109" s="67"/>
      <c r="D109" s="68"/>
      <c r="E109" s="69"/>
      <c r="F109" s="97"/>
      <c r="G109" s="69"/>
    </row>
    <row r="110" spans="1:7" s="18" customFormat="1" ht="21" customHeight="1" x14ac:dyDescent="0.2">
      <c r="A110" s="70"/>
      <c r="B110" s="70"/>
      <c r="C110" s="67"/>
      <c r="D110" s="68"/>
      <c r="E110" s="69"/>
      <c r="F110" s="97"/>
      <c r="G110" s="69"/>
    </row>
    <row r="111" spans="1:7" s="18" customFormat="1" ht="21" customHeight="1" x14ac:dyDescent="0.2">
      <c r="A111" s="70"/>
      <c r="B111" s="70"/>
      <c r="C111" s="67"/>
      <c r="D111" s="68"/>
      <c r="E111" s="69"/>
      <c r="F111" s="97"/>
      <c r="G111" s="69"/>
    </row>
    <row r="112" spans="1:7" s="18" customFormat="1" ht="21" customHeight="1" x14ac:dyDescent="0.2">
      <c r="A112" s="70"/>
      <c r="B112" s="70"/>
      <c r="C112" s="67"/>
      <c r="D112" s="68"/>
      <c r="E112" s="69"/>
      <c r="F112" s="97"/>
      <c r="G112" s="69"/>
    </row>
    <row r="113" spans="1:7" s="18" customFormat="1" ht="21" customHeight="1" x14ac:dyDescent="0.2">
      <c r="A113" s="70"/>
      <c r="B113" s="70"/>
      <c r="C113" s="67"/>
      <c r="D113" s="68"/>
      <c r="E113" s="69"/>
      <c r="F113" s="97"/>
      <c r="G113" s="69"/>
    </row>
    <row r="114" spans="1:7" s="18" customFormat="1" ht="21" customHeight="1" x14ac:dyDescent="0.2">
      <c r="A114" s="70"/>
      <c r="B114" s="70"/>
      <c r="C114" s="67"/>
      <c r="D114" s="68"/>
      <c r="E114" s="69"/>
      <c r="F114" s="97"/>
      <c r="G114" s="69"/>
    </row>
    <row r="115" spans="1:7" s="18" customFormat="1" ht="21" customHeight="1" x14ac:dyDescent="0.2">
      <c r="A115" s="70"/>
      <c r="B115" s="70"/>
      <c r="C115" s="67"/>
      <c r="D115" s="68"/>
      <c r="E115" s="69"/>
      <c r="F115" s="97"/>
      <c r="G115" s="69"/>
    </row>
    <row r="116" spans="1:7" s="18" customFormat="1" ht="21" customHeight="1" x14ac:dyDescent="0.2">
      <c r="A116" s="70"/>
      <c r="B116" s="70"/>
      <c r="C116" s="67"/>
      <c r="D116" s="68"/>
      <c r="E116" s="69"/>
      <c r="F116" s="97"/>
      <c r="G116" s="69"/>
    </row>
  </sheetData>
  <conditionalFormatting sqref="D3:E85 C3:C101">
    <cfRule type="expression" dxfId="62" priority="1">
      <formula>$E3&lt;&gt;$E4</formula>
    </cfRule>
  </conditionalFormatting>
  <dataValidations count="1">
    <dataValidation type="list" showInputMessage="1" showErrorMessage="1" sqref="G2" xr:uid="{D4F4C881-0D94-4048-B5EE-A28C1460A896}">
      <formula1>"OnLine, Siga"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E8BFB-12D9-4A51-8BCE-100031DB998E}">
  <sheetPr codeName="Sheet2"/>
  <dimension ref="A1:U74"/>
  <sheetViews>
    <sheetView topLeftCell="K1" workbookViewId="0">
      <selection activeCell="K2" sqref="K2:X45"/>
    </sheetView>
  </sheetViews>
  <sheetFormatPr defaultRowHeight="12.75" x14ac:dyDescent="0.2"/>
  <cols>
    <col min="2" max="3" width="4.85546875" bestFit="1" customWidth="1"/>
    <col min="4" max="4" width="21.7109375" bestFit="1" customWidth="1"/>
    <col min="5" max="5" width="24.5703125" bestFit="1" customWidth="1"/>
    <col min="7" max="7" width="3" style="151" customWidth="1"/>
    <col min="8" max="9" width="15.140625" customWidth="1"/>
    <col min="10" max="10" width="3.5703125" customWidth="1"/>
    <col min="11" max="11" width="18.42578125" bestFit="1" customWidth="1"/>
    <col min="12" max="12" width="3.5703125" customWidth="1"/>
    <col min="13" max="13" width="21.42578125" bestFit="1" customWidth="1"/>
    <col min="14" max="14" width="3.5703125" customWidth="1"/>
    <col min="15" max="15" width="12.140625" bestFit="1" customWidth="1"/>
    <col min="16" max="16" width="3.28515625" customWidth="1"/>
    <col min="17" max="17" width="14.5703125" bestFit="1" customWidth="1"/>
    <col min="18" max="18" width="3.28515625" customWidth="1"/>
    <col min="19" max="19" width="21.28515625" bestFit="1" customWidth="1"/>
    <col min="20" max="20" width="4.85546875" bestFit="1" customWidth="1"/>
    <col min="21" max="21" width="17" bestFit="1" customWidth="1"/>
  </cols>
  <sheetData>
    <row r="1" spans="1:21" x14ac:dyDescent="0.2">
      <c r="D1" s="149"/>
      <c r="E1" s="116"/>
    </row>
    <row r="2" spans="1:21" x14ac:dyDescent="0.2">
      <c r="A2" s="149"/>
      <c r="B2" s="116"/>
      <c r="D2" s="149"/>
      <c r="E2" s="116"/>
      <c r="G2"/>
    </row>
    <row r="3" spans="1:21" x14ac:dyDescent="0.2">
      <c r="E3" s="152"/>
      <c r="G3" s="149"/>
      <c r="H3" s="116"/>
      <c r="I3" s="116"/>
    </row>
    <row r="4" spans="1:21" x14ac:dyDescent="0.2">
      <c r="A4" s="149"/>
      <c r="B4" s="116"/>
      <c r="D4" s="149"/>
      <c r="E4" s="116"/>
      <c r="G4" s="149"/>
      <c r="H4" s="116"/>
      <c r="I4" s="116"/>
    </row>
    <row r="5" spans="1:21" x14ac:dyDescent="0.2">
      <c r="A5" s="149"/>
      <c r="B5" s="125">
        <v>5</v>
      </c>
      <c r="E5" s="145" t="s">
        <v>36</v>
      </c>
      <c r="G5" s="125">
        <v>5</v>
      </c>
      <c r="H5" s="9" t="s">
        <v>35</v>
      </c>
      <c r="I5" s="9" t="s">
        <v>408</v>
      </c>
      <c r="J5" s="125">
        <v>1</v>
      </c>
      <c r="K5" s="9"/>
      <c r="N5" s="135"/>
      <c r="O5" s="119"/>
      <c r="R5" s="125"/>
      <c r="S5" s="9"/>
      <c r="T5" s="135"/>
      <c r="U5" s="119"/>
    </row>
    <row r="6" spans="1:21" x14ac:dyDescent="0.2">
      <c r="A6" s="149"/>
      <c r="B6" s="135" t="s">
        <v>119</v>
      </c>
      <c r="C6" s="135" t="s">
        <v>119</v>
      </c>
      <c r="D6" s="119" t="s">
        <v>37</v>
      </c>
      <c r="E6" s="10" t="s">
        <v>36</v>
      </c>
      <c r="G6" s="125">
        <v>1</v>
      </c>
      <c r="H6" s="9" t="s">
        <v>60</v>
      </c>
      <c r="I6" s="9" t="s">
        <v>408</v>
      </c>
      <c r="J6" s="125">
        <v>1</v>
      </c>
      <c r="K6" s="9"/>
      <c r="N6" s="135"/>
      <c r="O6" s="119"/>
      <c r="R6" s="125"/>
      <c r="S6" s="9"/>
      <c r="T6" s="125"/>
      <c r="U6" s="9"/>
    </row>
    <row r="7" spans="1:21" x14ac:dyDescent="0.2">
      <c r="B7" s="125">
        <v>4</v>
      </c>
      <c r="E7" s="10" t="s">
        <v>36</v>
      </c>
      <c r="G7" s="125">
        <v>1</v>
      </c>
      <c r="H7" s="9" t="s">
        <v>62</v>
      </c>
      <c r="I7" s="9" t="s">
        <v>409</v>
      </c>
      <c r="J7" s="125">
        <v>4</v>
      </c>
      <c r="K7" s="9"/>
      <c r="N7" s="125"/>
      <c r="O7" s="9"/>
      <c r="R7" s="125"/>
      <c r="S7" s="9"/>
      <c r="T7" s="125"/>
      <c r="U7" s="9"/>
    </row>
    <row r="8" spans="1:21" x14ac:dyDescent="0.2">
      <c r="B8" s="125">
        <v>1</v>
      </c>
      <c r="E8" s="145" t="s">
        <v>36</v>
      </c>
      <c r="G8" s="135">
        <v>6</v>
      </c>
      <c r="H8" s="11" t="s">
        <v>72</v>
      </c>
      <c r="I8" s="9" t="s">
        <v>409</v>
      </c>
      <c r="J8" s="135">
        <v>3</v>
      </c>
      <c r="K8" s="119"/>
      <c r="N8" s="125"/>
      <c r="O8" s="9"/>
      <c r="R8" s="125"/>
      <c r="S8" s="9"/>
      <c r="T8" s="135"/>
      <c r="U8" s="119"/>
    </row>
    <row r="9" spans="1:21" x14ac:dyDescent="0.2">
      <c r="B9" s="125">
        <v>1</v>
      </c>
      <c r="E9" s="10" t="s">
        <v>36</v>
      </c>
      <c r="G9" s="125">
        <v>1</v>
      </c>
      <c r="H9" s="9" t="s">
        <v>94</v>
      </c>
      <c r="I9" s="9" t="s">
        <v>408</v>
      </c>
      <c r="J9" s="125">
        <v>3</v>
      </c>
      <c r="K9" s="9"/>
      <c r="R9" s="135"/>
      <c r="S9" s="119"/>
      <c r="T9" s="135"/>
      <c r="U9" s="119"/>
    </row>
    <row r="10" spans="1:21" x14ac:dyDescent="0.2">
      <c r="B10" s="125">
        <v>2</v>
      </c>
      <c r="E10" s="145" t="s">
        <v>36</v>
      </c>
      <c r="G10" s="125">
        <v>2</v>
      </c>
      <c r="H10" s="9" t="s">
        <v>278</v>
      </c>
      <c r="I10" s="9" t="s">
        <v>409</v>
      </c>
      <c r="J10" s="125">
        <v>1</v>
      </c>
      <c r="K10" s="9"/>
      <c r="R10" s="125"/>
      <c r="S10" s="9"/>
    </row>
    <row r="11" spans="1:21" x14ac:dyDescent="0.2">
      <c r="B11" s="125">
        <v>1</v>
      </c>
      <c r="E11" s="145" t="s">
        <v>36</v>
      </c>
      <c r="G11" s="125">
        <v>1</v>
      </c>
      <c r="H11" s="9" t="s">
        <v>289</v>
      </c>
      <c r="I11" s="9" t="s">
        <v>409</v>
      </c>
      <c r="J11" s="125">
        <v>1</v>
      </c>
      <c r="K11" s="9"/>
      <c r="R11" s="125"/>
      <c r="S11" s="9"/>
    </row>
    <row r="12" spans="1:21" x14ac:dyDescent="0.2">
      <c r="B12" s="125">
        <v>1</v>
      </c>
      <c r="E12" s="10" t="s">
        <v>44</v>
      </c>
      <c r="G12" s="135">
        <v>2</v>
      </c>
      <c r="H12" s="119" t="s">
        <v>121</v>
      </c>
      <c r="I12" s="9" t="s">
        <v>409</v>
      </c>
      <c r="J12" s="135">
        <v>3</v>
      </c>
      <c r="K12" s="119"/>
    </row>
    <row r="13" spans="1:21" x14ac:dyDescent="0.2">
      <c r="A13" s="149"/>
      <c r="B13" s="125">
        <v>1</v>
      </c>
      <c r="E13" s="10" t="s">
        <v>44</v>
      </c>
      <c r="G13" s="125">
        <v>1</v>
      </c>
      <c r="H13" s="9" t="s">
        <v>98</v>
      </c>
      <c r="I13" s="9" t="s">
        <v>409</v>
      </c>
      <c r="J13" s="125">
        <v>1</v>
      </c>
      <c r="K13" s="9"/>
    </row>
    <row r="14" spans="1:21" x14ac:dyDescent="0.2">
      <c r="A14" s="149"/>
      <c r="B14" s="125">
        <v>4</v>
      </c>
      <c r="E14" s="10" t="s">
        <v>44</v>
      </c>
      <c r="G14" s="125">
        <v>1</v>
      </c>
      <c r="H14" s="9" t="s">
        <v>363</v>
      </c>
      <c r="I14" s="9" t="s">
        <v>409</v>
      </c>
      <c r="J14" s="135">
        <v>1</v>
      </c>
      <c r="K14" s="119"/>
    </row>
    <row r="15" spans="1:21" x14ac:dyDescent="0.2">
      <c r="B15" s="135">
        <v>3</v>
      </c>
      <c r="E15" s="10" t="s">
        <v>44</v>
      </c>
      <c r="G15" s="125">
        <v>1</v>
      </c>
      <c r="H15" s="9" t="s">
        <v>147</v>
      </c>
      <c r="I15" s="9" t="s">
        <v>409</v>
      </c>
      <c r="J15" s="125">
        <v>3</v>
      </c>
      <c r="K15" s="9"/>
    </row>
    <row r="16" spans="1:21" x14ac:dyDescent="0.2">
      <c r="B16" s="125">
        <v>3</v>
      </c>
      <c r="E16" s="10" t="s">
        <v>44</v>
      </c>
      <c r="G16" s="125">
        <v>4</v>
      </c>
      <c r="H16" s="9" t="s">
        <v>38</v>
      </c>
      <c r="I16" s="9" t="s">
        <v>410</v>
      </c>
      <c r="J16" s="125">
        <v>1</v>
      </c>
      <c r="K16" s="9"/>
    </row>
    <row r="17" spans="1:11" x14ac:dyDescent="0.2">
      <c r="B17" s="125">
        <v>1</v>
      </c>
      <c r="E17" s="10" t="s">
        <v>50</v>
      </c>
      <c r="G17" s="125">
        <v>1</v>
      </c>
      <c r="H17" s="9" t="s">
        <v>39</v>
      </c>
      <c r="I17" s="9" t="s">
        <v>411</v>
      </c>
      <c r="J17" s="135">
        <v>1</v>
      </c>
      <c r="K17" s="11"/>
    </row>
    <row r="18" spans="1:11" x14ac:dyDescent="0.2">
      <c r="B18" s="125">
        <v>1</v>
      </c>
      <c r="E18" s="145" t="s">
        <v>50</v>
      </c>
      <c r="G18" s="125">
        <v>1</v>
      </c>
      <c r="H18" s="9" t="s">
        <v>40</v>
      </c>
      <c r="I18" s="9" t="s">
        <v>411</v>
      </c>
      <c r="J18" s="125">
        <v>1</v>
      </c>
      <c r="K18" s="9"/>
    </row>
    <row r="19" spans="1:11" x14ac:dyDescent="0.2">
      <c r="B19" s="125">
        <v>1</v>
      </c>
      <c r="E19" s="10" t="s">
        <v>50</v>
      </c>
      <c r="G19" s="125">
        <v>2</v>
      </c>
      <c r="H19" s="9" t="s">
        <v>41</v>
      </c>
      <c r="I19" s="9" t="s">
        <v>412</v>
      </c>
      <c r="J19" s="125">
        <v>1</v>
      </c>
      <c r="K19" s="9"/>
    </row>
    <row r="20" spans="1:11" x14ac:dyDescent="0.2">
      <c r="A20" s="149"/>
      <c r="B20" s="125">
        <v>3</v>
      </c>
      <c r="E20" s="10" t="s">
        <v>50</v>
      </c>
      <c r="G20" s="125">
        <v>1</v>
      </c>
      <c r="H20" s="9" t="s">
        <v>42</v>
      </c>
      <c r="I20" s="9" t="s">
        <v>411</v>
      </c>
      <c r="J20" s="125">
        <v>1</v>
      </c>
      <c r="K20" s="9"/>
    </row>
    <row r="21" spans="1:11" x14ac:dyDescent="0.2">
      <c r="A21" s="149"/>
      <c r="B21" s="125">
        <v>1</v>
      </c>
      <c r="E21" s="10" t="s">
        <v>50</v>
      </c>
      <c r="G21" s="125">
        <v>1</v>
      </c>
      <c r="H21" s="9" t="s">
        <v>64</v>
      </c>
      <c r="I21" s="9" t="s">
        <v>411</v>
      </c>
      <c r="J21" s="125">
        <v>1</v>
      </c>
      <c r="K21" s="9"/>
    </row>
    <row r="22" spans="1:11" x14ac:dyDescent="0.2">
      <c r="A22" s="149"/>
      <c r="B22" s="125">
        <v>3</v>
      </c>
      <c r="E22" s="10" t="s">
        <v>50</v>
      </c>
      <c r="J22" s="125">
        <v>3</v>
      </c>
      <c r="K22" s="9"/>
    </row>
    <row r="23" spans="1:11" x14ac:dyDescent="0.2">
      <c r="A23" s="149"/>
      <c r="B23" s="135">
        <v>1</v>
      </c>
      <c r="E23" s="10" t="s">
        <v>50</v>
      </c>
      <c r="J23" s="125">
        <v>1</v>
      </c>
      <c r="K23" s="9"/>
    </row>
    <row r="24" spans="1:11" x14ac:dyDescent="0.2">
      <c r="B24" s="125">
        <v>3</v>
      </c>
      <c r="E24" s="10" t="s">
        <v>50</v>
      </c>
      <c r="J24" s="125">
        <v>1</v>
      </c>
      <c r="K24" s="9"/>
    </row>
    <row r="25" spans="1:11" x14ac:dyDescent="0.2">
      <c r="B25" s="125">
        <v>1</v>
      </c>
      <c r="C25" s="125"/>
      <c r="D25" s="9"/>
      <c r="E25" s="145" t="s">
        <v>59</v>
      </c>
      <c r="J25" s="125">
        <v>1</v>
      </c>
      <c r="K25" s="9"/>
    </row>
    <row r="26" spans="1:11" x14ac:dyDescent="0.2">
      <c r="A26" s="149"/>
      <c r="B26" s="125">
        <v>1</v>
      </c>
      <c r="E26" s="10" t="s">
        <v>59</v>
      </c>
      <c r="J26" s="135">
        <v>4</v>
      </c>
      <c r="K26" s="119"/>
    </row>
    <row r="27" spans="1:11" x14ac:dyDescent="0.2">
      <c r="A27" s="149"/>
      <c r="B27" s="125">
        <v>1</v>
      </c>
      <c r="E27" s="10" t="s">
        <v>59</v>
      </c>
      <c r="J27" s="125">
        <v>2</v>
      </c>
      <c r="K27" s="9"/>
    </row>
    <row r="28" spans="1:11" x14ac:dyDescent="0.2">
      <c r="A28" s="149"/>
      <c r="B28" s="125">
        <v>1</v>
      </c>
      <c r="E28" s="10" t="s">
        <v>59</v>
      </c>
      <c r="J28" s="125">
        <v>1</v>
      </c>
      <c r="K28" s="9"/>
    </row>
    <row r="29" spans="1:11" x14ac:dyDescent="0.2">
      <c r="A29" s="149"/>
      <c r="B29" s="125">
        <v>1</v>
      </c>
      <c r="E29" s="10" t="s">
        <v>59</v>
      </c>
      <c r="J29" s="125">
        <v>1</v>
      </c>
      <c r="K29" s="9"/>
    </row>
    <row r="30" spans="1:11" x14ac:dyDescent="0.2">
      <c r="A30" s="149"/>
      <c r="B30" s="125">
        <v>1</v>
      </c>
      <c r="E30" s="12" t="s">
        <v>59</v>
      </c>
      <c r="J30" s="125">
        <v>1</v>
      </c>
      <c r="K30" s="9"/>
    </row>
    <row r="31" spans="1:11" x14ac:dyDescent="0.2">
      <c r="A31" s="149"/>
      <c r="B31" s="125">
        <v>1</v>
      </c>
      <c r="E31" s="10" t="s">
        <v>59</v>
      </c>
      <c r="J31" s="125">
        <v>1</v>
      </c>
      <c r="K31" s="9"/>
    </row>
    <row r="32" spans="1:11" x14ac:dyDescent="0.2">
      <c r="A32" s="149"/>
      <c r="B32" s="125">
        <v>1</v>
      </c>
      <c r="E32" s="145" t="s">
        <v>69</v>
      </c>
    </row>
    <row r="33" spans="1:11" x14ac:dyDescent="0.2">
      <c r="A33" s="149"/>
      <c r="B33" s="125">
        <v>1</v>
      </c>
      <c r="E33" s="145" t="s">
        <v>69</v>
      </c>
      <c r="J33" s="125">
        <v>1</v>
      </c>
      <c r="K33" s="9"/>
    </row>
    <row r="34" spans="1:11" x14ac:dyDescent="0.2">
      <c r="A34" s="149"/>
      <c r="B34" s="125">
        <v>6</v>
      </c>
      <c r="E34" s="12" t="s">
        <v>69</v>
      </c>
      <c r="J34" s="135">
        <v>1</v>
      </c>
      <c r="K34" s="119"/>
    </row>
    <row r="35" spans="1:11" x14ac:dyDescent="0.2">
      <c r="A35" s="149"/>
      <c r="B35" s="125">
        <v>1</v>
      </c>
      <c r="E35" s="10" t="s">
        <v>69</v>
      </c>
      <c r="J35" s="135">
        <v>2</v>
      </c>
      <c r="K35" s="119"/>
    </row>
    <row r="36" spans="1:11" x14ac:dyDescent="0.2">
      <c r="A36" s="149"/>
      <c r="B36" s="125">
        <v>3</v>
      </c>
      <c r="E36" s="10" t="s">
        <v>69</v>
      </c>
      <c r="J36" s="125">
        <v>6</v>
      </c>
      <c r="K36" s="9"/>
    </row>
    <row r="37" spans="1:11" x14ac:dyDescent="0.2">
      <c r="A37" s="149"/>
      <c r="B37" s="125">
        <v>1</v>
      </c>
      <c r="E37" s="145" t="s">
        <v>69</v>
      </c>
      <c r="J37" s="125">
        <v>2</v>
      </c>
      <c r="K37" s="9"/>
    </row>
    <row r="38" spans="1:11" x14ac:dyDescent="0.2">
      <c r="A38" s="150"/>
      <c r="B38" s="125">
        <v>1</v>
      </c>
      <c r="E38" s="145" t="s">
        <v>69</v>
      </c>
      <c r="J38" s="125">
        <v>2</v>
      </c>
      <c r="K38" s="9"/>
    </row>
    <row r="39" spans="1:11" x14ac:dyDescent="0.2">
      <c r="A39" s="149"/>
      <c r="B39" s="125">
        <v>1</v>
      </c>
      <c r="E39" s="10" t="s">
        <v>69</v>
      </c>
      <c r="J39" s="125">
        <v>3</v>
      </c>
      <c r="K39" s="9"/>
    </row>
    <row r="40" spans="1:11" x14ac:dyDescent="0.2">
      <c r="A40" s="149"/>
      <c r="B40" s="135">
        <v>4</v>
      </c>
      <c r="E40" s="10" t="s">
        <v>69</v>
      </c>
      <c r="J40" s="125">
        <v>3</v>
      </c>
      <c r="K40" s="9"/>
    </row>
    <row r="41" spans="1:11" x14ac:dyDescent="0.2">
      <c r="A41" s="149"/>
      <c r="B41" s="125">
        <v>2</v>
      </c>
      <c r="E41" s="10" t="s">
        <v>69</v>
      </c>
    </row>
    <row r="42" spans="1:11" x14ac:dyDescent="0.2">
      <c r="A42" s="149"/>
      <c r="B42" s="125">
        <v>1</v>
      </c>
      <c r="E42" s="10" t="s">
        <v>69</v>
      </c>
    </row>
    <row r="43" spans="1:11" x14ac:dyDescent="0.2">
      <c r="A43" s="149"/>
      <c r="B43" s="125">
        <v>1</v>
      </c>
      <c r="E43" s="145" t="s">
        <v>69</v>
      </c>
    </row>
    <row r="44" spans="1:11" x14ac:dyDescent="0.2">
      <c r="A44" s="149"/>
      <c r="B44" s="125">
        <v>1</v>
      </c>
      <c r="E44" s="10" t="s">
        <v>84</v>
      </c>
    </row>
    <row r="45" spans="1:11" x14ac:dyDescent="0.2">
      <c r="A45" s="149"/>
      <c r="B45" s="125">
        <v>1</v>
      </c>
      <c r="E45" s="10" t="s">
        <v>84</v>
      </c>
      <c r="G45" s="149"/>
      <c r="H45" s="116"/>
      <c r="I45" s="116"/>
    </row>
    <row r="46" spans="1:11" x14ac:dyDescent="0.2">
      <c r="A46" s="149"/>
      <c r="B46" s="125">
        <v>2</v>
      </c>
      <c r="E46" s="10" t="s">
        <v>87</v>
      </c>
      <c r="G46"/>
    </row>
    <row r="47" spans="1:11" x14ac:dyDescent="0.2">
      <c r="A47" s="149"/>
      <c r="B47" s="125">
        <v>1</v>
      </c>
      <c r="E47" s="10" t="s">
        <v>87</v>
      </c>
      <c r="G47" s="149"/>
      <c r="H47" s="116"/>
      <c r="I47" s="116"/>
    </row>
    <row r="48" spans="1:11" x14ac:dyDescent="0.2">
      <c r="A48" s="149"/>
      <c r="B48" s="125">
        <v>1</v>
      </c>
      <c r="E48" s="145" t="s">
        <v>87</v>
      </c>
      <c r="G48" s="149"/>
      <c r="H48" s="116"/>
      <c r="I48" s="116"/>
    </row>
    <row r="49" spans="1:9" x14ac:dyDescent="0.2">
      <c r="A49" s="149"/>
      <c r="B49" s="125">
        <v>2</v>
      </c>
      <c r="E49" s="10" t="s">
        <v>87</v>
      </c>
      <c r="G49" s="149"/>
      <c r="H49" s="116"/>
      <c r="I49" s="116"/>
    </row>
    <row r="50" spans="1:9" x14ac:dyDescent="0.2">
      <c r="A50" s="149"/>
      <c r="B50" s="135">
        <v>1</v>
      </c>
      <c r="E50" s="10" t="s">
        <v>87</v>
      </c>
      <c r="G50" s="150"/>
      <c r="H50" s="124"/>
      <c r="I50" s="124"/>
    </row>
    <row r="51" spans="1:9" x14ac:dyDescent="0.2">
      <c r="A51" s="149"/>
      <c r="B51" s="135">
        <v>1</v>
      </c>
      <c r="E51" s="10" t="s">
        <v>87</v>
      </c>
      <c r="G51" s="149"/>
      <c r="H51" s="116"/>
      <c r="I51" s="116"/>
    </row>
    <row r="52" spans="1:9" x14ac:dyDescent="0.2">
      <c r="A52" s="149"/>
      <c r="B52" s="135">
        <v>2</v>
      </c>
      <c r="E52" s="10" t="s">
        <v>87</v>
      </c>
      <c r="G52" s="149"/>
      <c r="H52" s="116"/>
      <c r="I52" s="116"/>
    </row>
    <row r="53" spans="1:9" x14ac:dyDescent="0.2">
      <c r="A53" s="150"/>
      <c r="B53" s="125">
        <v>6</v>
      </c>
      <c r="E53" s="10" t="s">
        <v>87</v>
      </c>
      <c r="G53" s="149"/>
      <c r="H53" s="116"/>
      <c r="I53" s="116"/>
    </row>
    <row r="54" spans="1:9" x14ac:dyDescent="0.2">
      <c r="B54" s="125">
        <v>1</v>
      </c>
      <c r="E54" s="10" t="s">
        <v>87</v>
      </c>
      <c r="G54" s="149"/>
      <c r="H54" s="116"/>
      <c r="I54" s="116"/>
    </row>
    <row r="55" spans="1:9" x14ac:dyDescent="0.2">
      <c r="B55" s="125">
        <v>2</v>
      </c>
      <c r="E55" s="145" t="s">
        <v>87</v>
      </c>
      <c r="G55" s="149"/>
      <c r="H55" s="116"/>
      <c r="I55" s="116"/>
    </row>
    <row r="56" spans="1:9" x14ac:dyDescent="0.2">
      <c r="B56" s="135">
        <v>2</v>
      </c>
      <c r="E56" s="10" t="s">
        <v>87</v>
      </c>
      <c r="G56" s="149"/>
      <c r="H56" s="116"/>
      <c r="I56" s="116"/>
    </row>
    <row r="57" spans="1:9" x14ac:dyDescent="0.2">
      <c r="B57" s="125">
        <v>3</v>
      </c>
      <c r="E57" s="10" t="s">
        <v>87</v>
      </c>
      <c r="G57" s="149"/>
      <c r="H57" s="116"/>
      <c r="I57" s="116"/>
    </row>
    <row r="58" spans="1:9" x14ac:dyDescent="0.2">
      <c r="B58" s="125">
        <v>1</v>
      </c>
      <c r="E58" s="10" t="s">
        <v>87</v>
      </c>
      <c r="G58" s="149"/>
      <c r="H58" s="116"/>
      <c r="I58" s="116"/>
    </row>
    <row r="59" spans="1:9" x14ac:dyDescent="0.2">
      <c r="B59" s="125">
        <v>1</v>
      </c>
      <c r="E59" s="10" t="s">
        <v>87</v>
      </c>
      <c r="G59" s="149"/>
      <c r="H59" s="116"/>
      <c r="I59" s="116"/>
    </row>
    <row r="60" spans="1:9" x14ac:dyDescent="0.2">
      <c r="B60" s="125">
        <v>1</v>
      </c>
      <c r="E60" s="10" t="s">
        <v>87</v>
      </c>
      <c r="G60" s="150"/>
      <c r="H60" s="116"/>
      <c r="I60" s="116"/>
    </row>
    <row r="61" spans="1:9" x14ac:dyDescent="0.2">
      <c r="B61" s="125">
        <v>1</v>
      </c>
      <c r="E61" s="10" t="s">
        <v>87</v>
      </c>
      <c r="G61" s="149"/>
      <c r="H61" s="116"/>
      <c r="I61" s="116"/>
    </row>
    <row r="62" spans="1:9" x14ac:dyDescent="0.2">
      <c r="B62" s="125">
        <v>1</v>
      </c>
      <c r="E62" s="10" t="s">
        <v>87</v>
      </c>
      <c r="G62" s="149"/>
      <c r="H62" s="116"/>
      <c r="I62" s="116"/>
    </row>
    <row r="63" spans="1:9" x14ac:dyDescent="0.2">
      <c r="B63" s="125">
        <v>1</v>
      </c>
      <c r="E63" s="10" t="s">
        <v>101</v>
      </c>
      <c r="G63" s="149"/>
      <c r="H63" s="116"/>
      <c r="I63" s="116"/>
    </row>
    <row r="64" spans="1:9" x14ac:dyDescent="0.2">
      <c r="B64" s="135" t="s">
        <v>133</v>
      </c>
      <c r="E64" s="10" t="s">
        <v>101</v>
      </c>
      <c r="G64" s="149"/>
      <c r="H64" s="116"/>
      <c r="I64" s="116"/>
    </row>
    <row r="65" spans="2:9" x14ac:dyDescent="0.2">
      <c r="B65" s="125">
        <v>2</v>
      </c>
      <c r="E65" s="10" t="s">
        <v>101</v>
      </c>
      <c r="G65" s="149"/>
      <c r="H65" s="116"/>
      <c r="I65" s="116"/>
    </row>
    <row r="66" spans="2:9" x14ac:dyDescent="0.2">
      <c r="B66" s="135">
        <v>1</v>
      </c>
      <c r="E66" s="10" t="s">
        <v>101</v>
      </c>
    </row>
    <row r="67" spans="2:9" x14ac:dyDescent="0.2">
      <c r="B67" s="125" t="s">
        <v>133</v>
      </c>
      <c r="E67" s="10" t="s">
        <v>101</v>
      </c>
    </row>
    <row r="68" spans="2:9" x14ac:dyDescent="0.2">
      <c r="B68" s="135">
        <v>1</v>
      </c>
      <c r="E68" s="10" t="s">
        <v>101</v>
      </c>
    </row>
    <row r="69" spans="2:9" x14ac:dyDescent="0.2">
      <c r="B69" s="125">
        <v>1</v>
      </c>
      <c r="E69" s="10" t="s">
        <v>101</v>
      </c>
    </row>
    <row r="70" spans="2:9" x14ac:dyDescent="0.2">
      <c r="B70" s="135">
        <v>1</v>
      </c>
      <c r="E70" s="10" t="s">
        <v>101</v>
      </c>
    </row>
    <row r="71" spans="2:9" x14ac:dyDescent="0.2">
      <c r="B71" s="125">
        <v>2</v>
      </c>
      <c r="E71" s="10" t="s">
        <v>101</v>
      </c>
    </row>
    <row r="72" spans="2:9" x14ac:dyDescent="0.2">
      <c r="B72" s="125" t="s">
        <v>130</v>
      </c>
      <c r="E72" s="145" t="s">
        <v>101</v>
      </c>
    </row>
    <row r="73" spans="2:9" x14ac:dyDescent="0.2">
      <c r="B73" s="135">
        <v>12</v>
      </c>
      <c r="E73" s="10" t="s">
        <v>101</v>
      </c>
    </row>
    <row r="74" spans="2:9" x14ac:dyDescent="0.2">
      <c r="B74" s="135">
        <v>6</v>
      </c>
      <c r="E74" s="10" t="s">
        <v>101</v>
      </c>
    </row>
  </sheetData>
  <conditionalFormatting sqref="B5 E5 G5:I5 B6:E6 B7:B24 E7:E24 B25:E25 B26:B74 E26:E74 I6:I19">
    <cfRule type="expression" dxfId="61" priority="5">
      <formula>AND($B5=0,$B5&lt;&gt;"")</formula>
    </cfRule>
    <cfRule type="expression" dxfId="60" priority="6">
      <formula>$F5&lt;&gt;""</formula>
    </cfRule>
  </conditionalFormatting>
  <conditionalFormatting sqref="G16:H20">
    <cfRule type="expression" dxfId="59" priority="196">
      <formula>AND($B7=0,$B7&lt;&gt;"")</formula>
    </cfRule>
    <cfRule type="expression" dxfId="58" priority="197">
      <formula>$F7&lt;&gt;""</formula>
    </cfRule>
  </conditionalFormatting>
  <conditionalFormatting sqref="J5:K10">
    <cfRule type="expression" dxfId="57" priority="204">
      <formula>AND($B12=0,$B12&lt;&gt;"")</formula>
    </cfRule>
    <cfRule type="expression" dxfId="56" priority="205">
      <formula>$F12&lt;&gt;""</formula>
    </cfRule>
  </conditionalFormatting>
  <conditionalFormatting sqref="J33:K33">
    <cfRule type="expression" dxfId="55" priority="212">
      <formula>AND($B18=0,$B18&lt;&gt;"")</formula>
    </cfRule>
    <cfRule type="expression" dxfId="54" priority="213">
      <formula>$F18&lt;&gt;""</formula>
    </cfRule>
  </conditionalFormatting>
  <conditionalFormatting sqref="J11:K13">
    <cfRule type="expression" dxfId="53" priority="220">
      <formula>AND($B19=0,$B19&lt;&gt;"")</formula>
    </cfRule>
    <cfRule type="expression" dxfId="52" priority="221">
      <formula>$F19&lt;&gt;""</formula>
    </cfRule>
  </conditionalFormatting>
  <conditionalFormatting sqref="G6:H6">
    <cfRule type="expression" dxfId="51" priority="228">
      <formula>AND($B26=0,$B26&lt;&gt;"")</formula>
    </cfRule>
    <cfRule type="expression" dxfId="50" priority="229">
      <formula>$F26&lt;&gt;""</formula>
    </cfRule>
  </conditionalFormatting>
  <conditionalFormatting sqref="G7:H7">
    <cfRule type="expression" dxfId="49" priority="236">
      <formula>AND($B28=0,$B28&lt;&gt;"")</formula>
    </cfRule>
    <cfRule type="expression" dxfId="48" priority="237">
      <formula>$F28&lt;&gt;""</formula>
    </cfRule>
  </conditionalFormatting>
  <conditionalFormatting sqref="J40:K40">
    <cfRule type="expression" dxfId="47" priority="244">
      <formula>AND($B22=0,$B22&lt;&gt;"")</formula>
    </cfRule>
    <cfRule type="expression" dxfId="46" priority="245">
      <formula>$F22&lt;&gt;""</formula>
    </cfRule>
  </conditionalFormatting>
  <conditionalFormatting sqref="G21:H21">
    <cfRule type="expression" dxfId="45" priority="252">
      <formula>AND($B29=0,$B29&lt;&gt;"")</formula>
    </cfRule>
    <cfRule type="expression" dxfId="44" priority="253">
      <formula>$F29&lt;&gt;""</formula>
    </cfRule>
  </conditionalFormatting>
  <conditionalFormatting sqref="J17:K20">
    <cfRule type="expression" dxfId="43" priority="260">
      <formula>AND($B30=0,$B30&lt;&gt;"")</formula>
    </cfRule>
    <cfRule type="expression" dxfId="42" priority="261">
      <formula>$F30&lt;&gt;""</formula>
    </cfRule>
  </conditionalFormatting>
  <conditionalFormatting sqref="G8:H8">
    <cfRule type="expression" dxfId="41" priority="268">
      <formula>AND($B34=0,$B34&lt;&gt;"")</formula>
    </cfRule>
    <cfRule type="expression" dxfId="40" priority="269">
      <formula>$F34&lt;&gt;""</formula>
    </cfRule>
  </conditionalFormatting>
  <conditionalFormatting sqref="G10:H10">
    <cfRule type="expression" dxfId="39" priority="276">
      <formula>AND($B46=0,$B46&lt;&gt;"")</formula>
    </cfRule>
    <cfRule type="expression" dxfId="38" priority="277">
      <formula>$F46&lt;&gt;""</formula>
    </cfRule>
  </conditionalFormatting>
  <conditionalFormatting sqref="T5:U5">
    <cfRule type="expression" dxfId="37" priority="284">
      <formula>AND($B64=0,$B64&lt;&gt;"")</formula>
    </cfRule>
    <cfRule type="expression" dxfId="36" priority="285">
      <formula>$F64&lt;&gt;""</formula>
    </cfRule>
  </conditionalFormatting>
  <conditionalFormatting sqref="N7:O8">
    <cfRule type="expression" dxfId="35" priority="292">
      <formula>AND($B59=0,$B59&lt;&gt;"")</formula>
    </cfRule>
    <cfRule type="expression" dxfId="34" priority="293">
      <formula>$F59&lt;&gt;""</formula>
    </cfRule>
  </conditionalFormatting>
  <conditionalFormatting sqref="T6:U6">
    <cfRule type="expression" dxfId="33" priority="300">
      <formula>AND($B67=0,$B67&lt;&gt;"")</formula>
    </cfRule>
    <cfRule type="expression" dxfId="32" priority="301">
      <formula>$F67&lt;&gt;""</formula>
    </cfRule>
  </conditionalFormatting>
  <conditionalFormatting sqref="R5:S5">
    <cfRule type="expression" dxfId="31" priority="308">
      <formula>AND($B63=0,$B63&lt;&gt;"")</formula>
    </cfRule>
    <cfRule type="expression" dxfId="30" priority="309">
      <formula>$F63&lt;&gt;""</formula>
    </cfRule>
  </conditionalFormatting>
  <conditionalFormatting sqref="N5:O5">
    <cfRule type="expression" dxfId="29" priority="314">
      <formula>AND($B47=0,$B47&lt;&gt;"")</formula>
    </cfRule>
    <cfRule type="expression" dxfId="28" priority="315">
      <formula>$F47&lt;&gt;""</formula>
    </cfRule>
  </conditionalFormatting>
  <conditionalFormatting sqref="N6:O6">
    <cfRule type="expression" dxfId="27" priority="316">
      <formula>AND($B50=0,$B50&lt;&gt;"")</formula>
    </cfRule>
    <cfRule type="expression" dxfId="26" priority="317">
      <formula>$F50&lt;&gt;""</formula>
    </cfRule>
  </conditionalFormatting>
  <conditionalFormatting sqref="J37:K39">
    <cfRule type="expression" dxfId="25" priority="322">
      <formula>AND($B55=0,$B55&lt;&gt;"")</formula>
    </cfRule>
    <cfRule type="expression" dxfId="24" priority="323">
      <formula>$F55&lt;&gt;""</formula>
    </cfRule>
  </conditionalFormatting>
  <conditionalFormatting sqref="G13:H13 G9:H9">
    <cfRule type="expression" dxfId="23" priority="324">
      <formula>AND($B54=0,$B54&lt;&gt;"")</formula>
    </cfRule>
    <cfRule type="expression" dxfId="22" priority="325">
      <formula>$F54&lt;&gt;""</formula>
    </cfRule>
  </conditionalFormatting>
  <conditionalFormatting sqref="G11:H12">
    <cfRule type="expression" dxfId="21" priority="330">
      <formula>AND($B48=0,$B48&lt;&gt;"")</formula>
    </cfRule>
    <cfRule type="expression" dxfId="20" priority="331">
      <formula>$F48&lt;&gt;""</formula>
    </cfRule>
  </conditionalFormatting>
  <conditionalFormatting sqref="G14:H15">
    <cfRule type="expression" dxfId="19" priority="336">
      <formula>AND($B61=0,$B61&lt;&gt;"")</formula>
    </cfRule>
    <cfRule type="expression" dxfId="18" priority="337">
      <formula>$F61&lt;&gt;""</formula>
    </cfRule>
  </conditionalFormatting>
  <conditionalFormatting sqref="R11:S11 R8:S8 T7:U7">
    <cfRule type="expression" dxfId="17" priority="342">
      <formula>AND($B70=0,$B70&lt;&gt;"")</formula>
    </cfRule>
    <cfRule type="expression" dxfId="16" priority="343">
      <formula>$F70&lt;&gt;""</formula>
    </cfRule>
  </conditionalFormatting>
  <conditionalFormatting sqref="R9:S10 R6:S7">
    <cfRule type="expression" dxfId="15" priority="346">
      <formula>AND($B65=0,$B65&lt;&gt;"")</formula>
    </cfRule>
    <cfRule type="expression" dxfId="14" priority="347">
      <formula>$F65&lt;&gt;""</formula>
    </cfRule>
  </conditionalFormatting>
  <conditionalFormatting sqref="T8:U9">
    <cfRule type="expression" dxfId="13" priority="352">
      <formula>AND($B72=0,$B72&lt;&gt;"")</formula>
    </cfRule>
    <cfRule type="expression" dxfId="12" priority="353">
      <formula>$F72&lt;&gt;""</formula>
    </cfRule>
  </conditionalFormatting>
  <conditionalFormatting sqref="I20">
    <cfRule type="expression" dxfId="11" priority="3">
      <formula>AND($B20=0,$B20&lt;&gt;"")</formula>
    </cfRule>
    <cfRule type="expression" dxfId="10" priority="4">
      <formula>$F20&lt;&gt;""</formula>
    </cfRule>
  </conditionalFormatting>
  <conditionalFormatting sqref="I21">
    <cfRule type="expression" dxfId="9" priority="1">
      <formula>AND($B21=0,$B21&lt;&gt;"")</formula>
    </cfRule>
    <cfRule type="expression" dxfId="8" priority="2">
      <formula>$F21&lt;&gt;""</formula>
    </cfRule>
  </conditionalFormatting>
  <conditionalFormatting sqref="J21:K31">
    <cfRule type="expression" dxfId="7" priority="358">
      <formula>AND($B35=0,$B35&lt;&gt;"")</formula>
    </cfRule>
    <cfRule type="expression" dxfId="6" priority="359">
      <formula>$F35&lt;&gt;""</formula>
    </cfRule>
  </conditionalFormatting>
  <conditionalFormatting sqref="J14:K15">
    <cfRule type="expression" dxfId="5" priority="360">
      <formula>AND($B23=0,$B23&lt;&gt;"")</formula>
    </cfRule>
    <cfRule type="expression" dxfId="4" priority="361">
      <formula>$F23&lt;&gt;""</formula>
    </cfRule>
  </conditionalFormatting>
  <conditionalFormatting sqref="J16:K16">
    <cfRule type="expression" dxfId="3" priority="362">
      <formula>AND($B27=0,$B27&lt;&gt;"")</formula>
    </cfRule>
    <cfRule type="expression" dxfId="2" priority="363">
      <formula>$F27&lt;&gt;""</formula>
    </cfRule>
  </conditionalFormatting>
  <conditionalFormatting sqref="J34:K36">
    <cfRule type="expression" dxfId="1" priority="368">
      <formula>AND($B51=0,$B51&lt;&gt;"")</formula>
    </cfRule>
    <cfRule type="expression" dxfId="0" priority="369">
      <formula>$F51&lt;&gt;""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03BE96-3F6A-41D2-BA29-E43239D2B6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TM02897376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Calendar</vt:lpstr>
      <vt:lpstr>Verificação</vt:lpstr>
      <vt:lpstr>Compras</vt:lpstr>
      <vt:lpstr>Semanalmente</vt:lpstr>
      <vt:lpstr>Receitas</vt:lpstr>
      <vt:lpstr>Produtos</vt:lpstr>
      <vt:lpstr>Ingredientes por receita</vt:lpstr>
      <vt:lpstr>Cores</vt:lpstr>
      <vt:lpstr>Melhorias</vt:lpstr>
      <vt:lpstr>Compras (2)</vt:lpstr>
      <vt:lpstr>Sheet1</vt:lpstr>
      <vt:lpstr>Calendar1Month</vt:lpstr>
      <vt:lpstr>Calendar1Year</vt:lpstr>
      <vt:lpstr>Categorias</vt:lpstr>
      <vt:lpstr>ColumnTitleRegion1..H12.1</vt:lpstr>
      <vt:lpstr>ColumnTitleRegion2..C14.1</vt:lpstr>
      <vt:lpstr>ColumnTitleRegion3..D14.1</vt:lpstr>
      <vt:lpstr>fPeriodoDeRefeições</vt:lpstr>
      <vt:lpstr>iPeriodoDeRefeições</vt:lpstr>
      <vt:lpstr>ListaDePratos</vt:lpstr>
      <vt:lpstr>Calendar!Print_Area</vt:lpstr>
      <vt:lpstr>WeekStart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Patricia Represas</dc:creator>
  <cp:keywords/>
  <dc:description/>
  <cp:lastModifiedBy>Luis Loureiro</cp:lastModifiedBy>
  <cp:revision/>
  <dcterms:created xsi:type="dcterms:W3CDTF">2021-12-11T10:51:42Z</dcterms:created>
  <dcterms:modified xsi:type="dcterms:W3CDTF">2026-04-21T17:28:55Z</dcterms:modified>
  <cp:category/>
  <cp:contentStatus/>
</cp:coreProperties>
</file>